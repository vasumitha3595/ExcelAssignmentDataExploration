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asumathi.t\Downloads\"/>
    </mc:Choice>
  </mc:AlternateContent>
  <xr:revisionPtr revIDLastSave="0" documentId="13_ncr:1_{79116CBC-851F-45AB-85BF-91F19C04C1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s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K12" i="1" l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K1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K10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K9" i="1"/>
  <c r="L9" i="1"/>
  <c r="K8" i="1"/>
  <c r="L8" i="1"/>
  <c r="K7" i="1"/>
  <c r="K3" i="1"/>
  <c r="K4" i="1"/>
  <c r="K5" i="1"/>
  <c r="K6" i="1"/>
  <c r="K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<sst xmlns="http://schemas.openxmlformats.org/spreadsheetml/2006/main" count="302" uniqueCount="110">
  <si>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</si>
  <si>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</si>
  <si>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</si>
  <si>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</si>
  <si>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</si>
  <si>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</si>
  <si>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</si>
  <si>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</si>
  <si>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</si>
  <si>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</si>
  <si>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</si>
  <si>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</si>
  <si>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</si>
  <si>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</si>
  <si>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</si>
  <si>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</si>
  <si>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</si>
  <si>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</si>
  <si>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</si>
  <si>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</si>
  <si>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</si>
  <si>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</si>
  <si>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</si>
  <si>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</si>
  <si>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</si>
  <si>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</si>
  <si>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</si>
  <si>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</si>
  <si>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</si>
  <si>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</si>
  <si>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</si>
  <si>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</si>
  <si>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</si>
  <si>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</si>
  <si>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</si>
  <si>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</si>
  <si>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</si>
  <si>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</si>
  <si>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</si>
  <si>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</si>
  <si>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</si>
  <si>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</si>
  <si>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</si>
  <si>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</si>
  <si>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</si>
  <si>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</si>
  <si>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</si>
  <si>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</si>
  <si>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</si>
  <si>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</si>
  <si>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</si>
  <si>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</si>
  <si>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</si>
  <si>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</si>
  <si>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</si>
  <si>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</si>
  <si>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</si>
  <si>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</si>
  <si>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</si>
  <si>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</si>
  <si>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</si>
  <si>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</si>
  <si>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</si>
  <si>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</si>
  <si>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</si>
  <si>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</si>
  <si>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</si>
  <si>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</si>
  <si>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</si>
  <si>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</si>
  <si>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</si>
  <si>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</si>
  <si>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</si>
  <si>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</si>
  <si>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</si>
  <si>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</si>
  <si>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</si>
  <si>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</si>
  <si>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</si>
  <si>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</si>
  <si>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</si>
  <si>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</si>
  <si>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</si>
  <si>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</si>
  <si>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</si>
  <si>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</si>
  <si>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</si>
  <si>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</si>
  <si>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</si>
  <si>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</si>
  <si>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</si>
  <si>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</si>
  <si>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</si>
  <si>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Formulas</t>
  </si>
  <si>
    <t>Result</t>
  </si>
  <si>
    <t>Price range</t>
  </si>
  <si>
    <t>DAY</t>
  </si>
  <si>
    <t>Country code</t>
  </si>
  <si>
    <t>month</t>
  </si>
  <si>
    <t>1a</t>
  </si>
  <si>
    <t>1b</t>
  </si>
  <si>
    <t>2a</t>
  </si>
  <si>
    <t>1c</t>
  </si>
  <si>
    <t>2b</t>
  </si>
  <si>
    <t>Questions</t>
  </si>
  <si>
    <t>4a</t>
  </si>
  <si>
    <t>4b</t>
  </si>
  <si>
    <t>5a</t>
  </si>
  <si>
    <t>5b</t>
  </si>
  <si>
    <t>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</si>
</sst>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3" fillId="0" borderId="0" xfId="0" applyFo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8FD6A0-CC61-44A0-A7C4-FB0A43E73E91}" name="Table" displayName="Table" ref="A1:J35" totalsRowShown="0" headerRowDxfId="11" dataDxfId="10">
  <autoFilter ref="A1:J35" xr:uid="{A28FD6A0-CC61-44A0-A7C4-FB0A43E73E91}"/>
  <tableColumns count="10">
    <tableColumn id="1" xr3:uid="{26DE66EA-EBA1-4AC2-AF86-D3C84E3F73D8}" name="Product ID" dataDxfId="9"/>
    <tableColumn id="2" xr3:uid="{6C7C2803-9DC4-4A4A-8A25-0D3987015052}" name="Product Name" dataDxfId="8"/>
    <tableColumn id="3" xr3:uid="{362C7828-32A1-4610-8E4D-87783B161A5D}" name="Brand Name" dataDxfId="7"/>
    <tableColumn id="4" xr3:uid="{A2622EC0-0897-42DF-ADBE-D3AA9F10E067}" name="Price ($)" dataDxfId="6"/>
    <tableColumn id="5" xr3:uid="{AEF9B00A-A6D0-4B1D-96A2-11CD839B7407}" name="Quantity" dataDxfId="5"/>
    <tableColumn id="6" xr3:uid="{8F505237-DDEB-4CDE-A14C-F303007DED94}" name="Category" dataDxfId="4"/>
    <tableColumn id="7" xr3:uid="{6A46DA4A-67A0-4625-BD34-5472C538E529}" name="Price range" dataDxfId="3">
      <calculatedColumnFormula>IF(Table[[#This Row],[Price ($)]]&gt;=500,"high price","standard price")</calculatedColumnFormula>
    </tableColumn>
    <tableColumn id="8" xr3:uid="{96E7EF3F-DFBB-42DD-B8C4-0A4AD74AA0C5}" name="DAY" dataDxfId="2">
      <calculatedColumnFormula>LEFT(Table[[#This Row],[Product ID]],2)</calculatedColumnFormula>
    </tableColumn>
    <tableColumn id="9" xr3:uid="{8E571A67-1079-4C34-A3D0-E9C163BD5D2E}" name="Country code" dataDxfId="1">
      <calculatedColumnFormula>RIGHT(Table[[#This Row],[Product ID]],2)</calculatedColumnFormula>
    </tableColumn>
    <tableColumn id="10" xr3:uid="{263E4CAA-A7B1-4581-BDB0-3F9E69983818}" name="month" dataDxfId="0">
      <calculatedColumnFormula>MID(Table[[#This Row],[Product ID]],4,3)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tabSelected="1" topLeftCell="C1" workbookViewId="0">
      <selection activeCell="K11" sqref="K11"/>
    </sheetView>
  </sheetViews>
  <sheetFormatPr defaultColWidth="12.5703125" defaultRowHeight="15" customHeight="1" x14ac:dyDescent="0.2"/>
  <cols>
    <col min="1" max="1" width="14.7109375" customWidth="1"/>
    <col min="2" max="2" width="16" customWidth="1"/>
    <col min="3" max="3" width="14.42578125" customWidth="1"/>
    <col min="11" max="11" width="26" customWidth="1"/>
    <col min="12" max="12" width="17.7109375" customWidth="1"/>
  </cols>
  <sheetData>
    <row r="1" spans="1:14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93</v>
      </c>
      <c r="L1" s="1" t="s">
        <v>94</v>
      </c>
      <c r="M1" s="6" t="s">
        <v>104</v>
      </c>
    </row>
    <row r="2" spans="1:14" ht="15.75" customHeight="1" x14ac:dyDescent="0.2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4" t="str">
        <f>IF(Table[[#This Row],[Price ($)]]&gt;=500,"high price","standard price")</f>
        <v>high price</v>
      </c>
      <c r="H2" s="4" t="str">
        <f>LEFT(Table[[#This Row],[Product ID]],2)</f>
        <v>28</v>
      </c>
      <c r="I2" s="4" t="str">
        <f>RIGHT(Table[[#This Row],[Product ID]],2)</f>
        <v>US</v>
      </c>
      <c r="J2" s="4" t="str">
        <f>MID(Table[[#This Row],[Product ID]],4,3)</f>
        <v>JAN</v>
      </c>
      <c r="K2" s="3" t="str">
        <f ca="1">_xlfn.FORMULATEXT(L2)</f>
        <v>=SUM(Table[Price ($)])</v>
      </c>
      <c r="L2">
        <f>SUM(Table[Price ($)])</f>
        <v>10100</v>
      </c>
      <c r="M2" s="6" t="s">
        <v>99</v>
      </c>
    </row>
    <row r="3" spans="1:14" ht="15.75" customHeight="1" x14ac:dyDescent="0.2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4" t="str">
        <f>IF(Table[[#This Row],[Price ($)]]&gt;=500,"high price","standard price")</f>
        <v>standard price</v>
      </c>
      <c r="H3" s="4" t="str">
        <f>LEFT(Table[[#This Row],[Product ID]],2)</f>
        <v>15</v>
      </c>
      <c r="I3" s="4" t="str">
        <f>RIGHT(Table[[#This Row],[Product ID]],2)</f>
        <v>US</v>
      </c>
      <c r="J3" s="4" t="str">
        <f>MID(Table[[#This Row],[Product ID]],4,3)</f>
        <v>FEB</v>
      </c>
      <c r="K3" s="3" t="str">
        <f t="shared" ref="K3:K6" ca="1" si="0">_xlfn.FORMULATEXT(L3)</f>
        <v>=COUNTA(Table[Product Name])</v>
      </c>
      <c r="L3">
        <f>COUNTA(Table[Product Name])</f>
        <v>34</v>
      </c>
      <c r="M3" s="6" t="s">
        <v>100</v>
      </c>
    </row>
    <row r="4" spans="1:14" ht="15.75" customHeight="1" x14ac:dyDescent="0.2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4" t="str">
        <f>IF(Table[[#This Row],[Price ($)]]&gt;=500,"high price","standard price")</f>
        <v>standard price</v>
      </c>
      <c r="H4" s="4" t="str">
        <f>LEFT(Table[[#This Row],[Product ID]],2)</f>
        <v>03</v>
      </c>
      <c r="I4" s="4" t="str">
        <f>RIGHT(Table[[#This Row],[Product ID]],2)</f>
        <v>US</v>
      </c>
      <c r="J4" s="4" t="str">
        <f>MID(Table[[#This Row],[Product ID]],4,3)</f>
        <v>MAR</v>
      </c>
      <c r="K4" s="3" t="str">
        <f t="shared" ca="1" si="0"/>
        <v>=AVERAGE(Table[Price ($)])</v>
      </c>
      <c r="L4">
        <f>AVERAGE(Table[Price ($)])</f>
        <v>297.05882352941177</v>
      </c>
      <c r="M4" s="6" t="s">
        <v>102</v>
      </c>
    </row>
    <row r="5" spans="1:14" ht="15.75" customHeight="1" x14ac:dyDescent="0.2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4" t="str">
        <f>IF(Table[[#This Row],[Price ($)]]&gt;=500,"high price","standard price")</f>
        <v>high price</v>
      </c>
      <c r="H5" s="4" t="str">
        <f>LEFT(Table[[#This Row],[Product ID]],2)</f>
        <v>11</v>
      </c>
      <c r="I5" s="4" t="str">
        <f>RIGHT(Table[[#This Row],[Product ID]],2)</f>
        <v>US</v>
      </c>
      <c r="J5" s="4" t="str">
        <f>MID(Table[[#This Row],[Product ID]],4,3)</f>
        <v>APR</v>
      </c>
      <c r="K5" s="3" t="str">
        <f t="shared" ca="1" si="0"/>
        <v>=MIN(Table[Price ($)])</v>
      </c>
      <c r="L5">
        <f>MIN(Table[Price ($)])</f>
        <v>30</v>
      </c>
      <c r="M5" s="6" t="s">
        <v>101</v>
      </c>
    </row>
    <row r="6" spans="1:14" ht="15.75" customHeight="1" x14ac:dyDescent="0.2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4" t="str">
        <f>IF(Table[[#This Row],[Price ($)]]&gt;=500,"high price","standard price")</f>
        <v>standard price</v>
      </c>
      <c r="H6" s="4" t="str">
        <f>LEFT(Table[[#This Row],[Product ID]],2)</f>
        <v>22</v>
      </c>
      <c r="I6" s="4" t="str">
        <f>RIGHT(Table[[#This Row],[Product ID]],2)</f>
        <v>US</v>
      </c>
      <c r="J6" s="4" t="str">
        <f>MID(Table[[#This Row],[Product ID]],4,3)</f>
        <v>MAY</v>
      </c>
      <c r="K6" s="3" t="str">
        <f t="shared" ca="1" si="0"/>
        <v>=MAX(Table[Price ($)])</v>
      </c>
      <c r="L6">
        <f>MAX(Table[Price ($)])</f>
        <v>1000</v>
      </c>
      <c r="M6" s="6" t="s">
        <v>103</v>
      </c>
    </row>
    <row r="7" spans="1:14" ht="15.75" customHeight="1" x14ac:dyDescent="0.2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4" t="str">
        <f>IF(Table[[#This Row],[Price ($)]]&gt;=500,"high price","standard price")</f>
        <v>standard price</v>
      </c>
      <c r="H7" s="4" t="str">
        <f>LEFT(Table[[#This Row],[Product ID]],2)</f>
        <v>07</v>
      </c>
      <c r="I7" s="4" t="str">
        <f>RIGHT(Table[[#This Row],[Product ID]],2)</f>
        <v>UK</v>
      </c>
      <c r="J7" s="4" t="str">
        <f>MID(Table[[#This Row],[Product ID]],4,3)</f>
        <v>JUN</v>
      </c>
      <c r="K7" s="3" t="str">
        <f ca="1">_xlfn.FORMULATEXT(G2)</f>
        <v>=IF([@[Price ($)]]&gt;=500,"high price","standard price")</v>
      </c>
      <c r="M7">
        <v>3</v>
      </c>
    </row>
    <row r="8" spans="1:14" ht="15.75" customHeight="1" x14ac:dyDescent="0.2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4" t="str">
        <f>IF(Table[[#This Row],[Price ($)]]&gt;=500,"high price","standard price")</f>
        <v>standard price</v>
      </c>
      <c r="H8" s="4" t="str">
        <f>LEFT(Table[[#This Row],[Product ID]],2)</f>
        <v>19</v>
      </c>
      <c r="I8" s="4" t="str">
        <f>RIGHT(Table[[#This Row],[Product ID]],2)</f>
        <v>UK</v>
      </c>
      <c r="J8" s="4" t="str">
        <f>MID(Table[[#This Row],[Product ID]],4,3)</f>
        <v>JUL</v>
      </c>
      <c r="K8" s="3" t="str">
        <f ca="1">_xlfn.FORMULATEXT(L8)</f>
        <v>=SUMIF(Table[Category],M8,Table[Price ($)])</v>
      </c>
      <c r="L8">
        <f>SUMIF(Table[Category],M8,Table[Price ($)])</f>
        <v>8050</v>
      </c>
      <c r="M8" t="s">
        <v>9</v>
      </c>
      <c r="N8" s="6" t="s">
        <v>105</v>
      </c>
    </row>
    <row r="9" spans="1:14" ht="15.75" customHeight="1" x14ac:dyDescent="0.2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4" t="str">
        <f>IF(Table[[#This Row],[Price ($)]]&gt;=500,"high price","standard price")</f>
        <v>standard price</v>
      </c>
      <c r="H9" s="4" t="str">
        <f>LEFT(Table[[#This Row],[Product ID]],2)</f>
        <v>23</v>
      </c>
      <c r="I9" s="4" t="str">
        <f>RIGHT(Table[[#This Row],[Product ID]],2)</f>
        <v>UK</v>
      </c>
      <c r="J9" s="4" t="str">
        <f>MID(Table[[#This Row],[Product ID]],4,3)</f>
        <v>AUG</v>
      </c>
      <c r="K9" s="3" t="str">
        <f ca="1">_xlfn.FORMULATEXT(L9)</f>
        <v>=COUNTIF(Table[Price ($)],"&lt;100")</v>
      </c>
      <c r="L9">
        <f>COUNTIF(Table[Price ($)],"&lt;100")</f>
        <v>11</v>
      </c>
      <c r="N9" s="6" t="s">
        <v>106</v>
      </c>
    </row>
    <row r="10" spans="1:14" ht="15.75" customHeight="1" x14ac:dyDescent="0.2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4" t="str">
        <f>IF(Table[[#This Row],[Price ($)]]&gt;=500,"high price","standard price")</f>
        <v>high price</v>
      </c>
      <c r="H10" s="4" t="str">
        <f>LEFT(Table[[#This Row],[Product ID]],2)</f>
        <v>05</v>
      </c>
      <c r="I10" s="4" t="str">
        <f>RIGHT(Table[[#This Row],[Product ID]],2)</f>
        <v>UK</v>
      </c>
      <c r="J10" s="4" t="str">
        <f>MID(Table[[#This Row],[Product ID]],4,3)</f>
        <v>SEP</v>
      </c>
      <c r="K10" s="3" t="str">
        <f ca="1">_xlfn.FORMULATEXT(H2)</f>
        <v>=LEFT([@[Product ID]],2)</v>
      </c>
      <c r="N10" s="6" t="s">
        <v>107</v>
      </c>
    </row>
    <row r="11" spans="1:14" ht="15.75" customHeight="1" x14ac:dyDescent="0.2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4" t="str">
        <f>IF(Table[[#This Row],[Price ($)]]&gt;=500,"high price","standard price")</f>
        <v>standard price</v>
      </c>
      <c r="H11" s="4" t="str">
        <f>LEFT(Table[[#This Row],[Product ID]],2)</f>
        <v>14</v>
      </c>
      <c r="I11" s="4" t="str">
        <f>RIGHT(Table[[#This Row],[Product ID]],2)</f>
        <v>UK</v>
      </c>
      <c r="J11" s="4" t="str">
        <f>MID(Table[[#This Row],[Product ID]],4,3)</f>
        <v>OCT</v>
      </c>
      <c r="K11" t="str">
        <f ca="1">_xlfn.FORMULATEXT(I2)</f>
        <v>=RIGHT([@[Product ID]],2)</v>
      </c>
      <c r="N11" s="6" t="s">
        <v>108</v>
      </c>
    </row>
    <row r="12" spans="1:14" ht="15.75" customHeight="1" x14ac:dyDescent="0.2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4" t="str">
        <f>IF(Table[[#This Row],[Price ($)]]&gt;=500,"high price","standard price")</f>
        <v>high price</v>
      </c>
      <c r="H12" s="4" t="str">
        <f>LEFT(Table[[#This Row],[Product ID]],2)</f>
        <v>17</v>
      </c>
      <c r="I12" s="4" t="str">
        <f>RIGHT(Table[[#This Row],[Product ID]],2)</f>
        <v>IN</v>
      </c>
      <c r="J12" s="4" t="str">
        <f>MID(Table[[#This Row],[Product ID]],4,3)</f>
        <v>JUN</v>
      </c>
      <c r="K12" t="str">
        <f ca="1">_xlfn.FORMULATEXT(J2)</f>
        <v>=MID([@[Product ID]],4,3)</v>
      </c>
      <c r="N12" s="6" t="s">
        <v>109</v>
      </c>
    </row>
    <row r="13" spans="1:14" ht="15.75" customHeight="1" x14ac:dyDescent="0.2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4" t="str">
        <f>IF(Table[[#This Row],[Price ($)]]&gt;=500,"high price","standard price")</f>
        <v>standard price</v>
      </c>
      <c r="H13" s="4" t="str">
        <f>LEFT(Table[[#This Row],[Product ID]],2)</f>
        <v>25</v>
      </c>
      <c r="I13" s="4" t="str">
        <f>RIGHT(Table[[#This Row],[Product ID]],2)</f>
        <v>AU</v>
      </c>
      <c r="J13" s="4" t="str">
        <f>MID(Table[[#This Row],[Product ID]],4,3)</f>
        <v>NOV</v>
      </c>
    </row>
    <row r="14" spans="1:14" ht="15.75" customHeight="1" x14ac:dyDescent="0.2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4" t="str">
        <f>IF(Table[[#This Row],[Price ($)]]&gt;=500,"high price","standard price")</f>
        <v>standard price</v>
      </c>
      <c r="H14" s="4" t="str">
        <f>LEFT(Table[[#This Row],[Product ID]],2)</f>
        <v>08</v>
      </c>
      <c r="I14" s="4" t="str">
        <f>RIGHT(Table[[#This Row],[Product ID]],2)</f>
        <v>DE</v>
      </c>
      <c r="J14" s="4" t="str">
        <f>MID(Table[[#This Row],[Product ID]],4,3)</f>
        <v>DEC</v>
      </c>
    </row>
    <row r="15" spans="1:14" ht="15.75" customHeight="1" x14ac:dyDescent="0.2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4" t="str">
        <f>IF(Table[[#This Row],[Price ($)]]&gt;=500,"high price","standard price")</f>
        <v>standard price</v>
      </c>
      <c r="H15" s="4" t="str">
        <f>LEFT(Table[[#This Row],[Product ID]],2)</f>
        <v>18</v>
      </c>
      <c r="I15" s="4" t="str">
        <f>RIGHT(Table[[#This Row],[Product ID]],2)</f>
        <v>CA</v>
      </c>
      <c r="J15" s="4" t="str">
        <f>MID(Table[[#This Row],[Product ID]],4,3)</f>
        <v>FEB</v>
      </c>
    </row>
    <row r="16" spans="1:14" ht="15.75" customHeight="1" x14ac:dyDescent="0.2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4" t="str">
        <f>IF(Table[[#This Row],[Price ($)]]&gt;=500,"high price","standard price")</f>
        <v>standard price</v>
      </c>
      <c r="H16" s="4" t="str">
        <f>LEFT(Table[[#This Row],[Product ID]],2)</f>
        <v>16</v>
      </c>
      <c r="I16" s="4" t="str">
        <f>RIGHT(Table[[#This Row],[Product ID]],2)</f>
        <v>ES</v>
      </c>
      <c r="J16" s="4" t="str">
        <f>MID(Table[[#This Row],[Product ID]],4,3)</f>
        <v>APR</v>
      </c>
    </row>
    <row r="17" spans="1:10" ht="15.75" customHeight="1" x14ac:dyDescent="0.2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4" t="str">
        <f>IF(Table[[#This Row],[Price ($)]]&gt;=500,"high price","standard price")</f>
        <v>standard price</v>
      </c>
      <c r="H17" s="4" t="str">
        <f>LEFT(Table[[#This Row],[Product ID]],2)</f>
        <v>21</v>
      </c>
      <c r="I17" s="4" t="str">
        <f>RIGHT(Table[[#This Row],[Product ID]],2)</f>
        <v>CA</v>
      </c>
      <c r="J17" s="4" t="str">
        <f>MID(Table[[#This Row],[Product ID]],4,3)</f>
        <v>AUG</v>
      </c>
    </row>
    <row r="18" spans="1:10" ht="15.75" customHeight="1" x14ac:dyDescent="0.2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4" t="str">
        <f>IF(Table[[#This Row],[Price ($)]]&gt;=500,"high price","standard price")</f>
        <v>standard price</v>
      </c>
      <c r="H18" s="4" t="str">
        <f>LEFT(Table[[#This Row],[Product ID]],2)</f>
        <v>20</v>
      </c>
      <c r="I18" s="4" t="str">
        <f>RIGHT(Table[[#This Row],[Product ID]],2)</f>
        <v>CN</v>
      </c>
      <c r="J18" s="4" t="str">
        <f>MID(Table[[#This Row],[Product ID]],4,3)</f>
        <v>AUG</v>
      </c>
    </row>
    <row r="19" spans="1:10" ht="15.75" customHeight="1" x14ac:dyDescent="0.2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4" t="str">
        <f>IF(Table[[#This Row],[Price ($)]]&gt;=500,"high price","standard price")</f>
        <v>high price</v>
      </c>
      <c r="H19" s="4" t="str">
        <f>LEFT(Table[[#This Row],[Product ID]],2)</f>
        <v>27</v>
      </c>
      <c r="I19" s="4" t="str">
        <f>RIGHT(Table[[#This Row],[Product ID]],2)</f>
        <v>IT</v>
      </c>
      <c r="J19" s="4" t="str">
        <f>MID(Table[[#This Row],[Product ID]],4,3)</f>
        <v>JAN</v>
      </c>
    </row>
    <row r="20" spans="1:10" ht="15.75" customHeight="1" x14ac:dyDescent="0.2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4" t="str">
        <f>IF(Table[[#This Row],[Price ($)]]&gt;=500,"high price","standard price")</f>
        <v>standard price</v>
      </c>
      <c r="H20" s="4" t="str">
        <f>LEFT(Table[[#This Row],[Product ID]],2)</f>
        <v>01</v>
      </c>
      <c r="I20" s="4" t="str">
        <f>RIGHT(Table[[#This Row],[Product ID]],2)</f>
        <v>UK</v>
      </c>
      <c r="J20" s="4" t="str">
        <f>MID(Table[[#This Row],[Product ID]],4,3)</f>
        <v>MAR</v>
      </c>
    </row>
    <row r="21" spans="1:10" ht="15.75" customHeight="1" x14ac:dyDescent="0.2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4" t="str">
        <f>IF(Table[[#This Row],[Price ($)]]&gt;=500,"high price","standard price")</f>
        <v>standard price</v>
      </c>
      <c r="H21" s="4" t="str">
        <f>LEFT(Table[[#This Row],[Product ID]],2)</f>
        <v>14</v>
      </c>
      <c r="I21" s="4" t="str">
        <f>RIGHT(Table[[#This Row],[Product ID]],2)</f>
        <v>US</v>
      </c>
      <c r="J21" s="4" t="str">
        <f>MID(Table[[#This Row],[Product ID]],4,3)</f>
        <v>AUG</v>
      </c>
    </row>
    <row r="22" spans="1:10" ht="15.75" customHeight="1" x14ac:dyDescent="0.2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4" t="str">
        <f>IF(Table[[#This Row],[Price ($)]]&gt;=500,"high price","standard price")</f>
        <v>high price</v>
      </c>
      <c r="H22" s="4" t="str">
        <f>LEFT(Table[[#This Row],[Product ID]],2)</f>
        <v>14</v>
      </c>
      <c r="I22" s="4" t="str">
        <f>RIGHT(Table[[#This Row],[Product ID]],2)</f>
        <v>RU</v>
      </c>
      <c r="J22" s="4" t="str">
        <f>MID(Table[[#This Row],[Product ID]],4,3)</f>
        <v>MAY</v>
      </c>
    </row>
    <row r="23" spans="1:10" ht="15.75" customHeight="1" x14ac:dyDescent="0.2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4" t="str">
        <f>IF(Table[[#This Row],[Price ($)]]&gt;=500,"high price","standard price")</f>
        <v>standard price</v>
      </c>
      <c r="H23" s="4" t="str">
        <f>LEFT(Table[[#This Row],[Product ID]],2)</f>
        <v>09</v>
      </c>
      <c r="I23" s="4" t="str">
        <f>RIGHT(Table[[#This Row],[Product ID]],2)</f>
        <v>CA</v>
      </c>
      <c r="J23" s="4" t="str">
        <f>MID(Table[[#This Row],[Product ID]],4,3)</f>
        <v>JAN</v>
      </c>
    </row>
    <row r="24" spans="1:10" ht="15.75" customHeight="1" x14ac:dyDescent="0.2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4" t="str">
        <f>IF(Table[[#This Row],[Price ($)]]&gt;=500,"high price","standard price")</f>
        <v>standard price</v>
      </c>
      <c r="H24" s="4" t="str">
        <f>LEFT(Table[[#This Row],[Product ID]],2)</f>
        <v>19</v>
      </c>
      <c r="I24" s="4" t="str">
        <f>RIGHT(Table[[#This Row],[Product ID]],2)</f>
        <v>BR</v>
      </c>
      <c r="J24" s="4" t="str">
        <f>MID(Table[[#This Row],[Product ID]],4,3)</f>
        <v>JUL</v>
      </c>
    </row>
    <row r="25" spans="1:10" ht="15.75" customHeight="1" x14ac:dyDescent="0.2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4" t="str">
        <f>IF(Table[[#This Row],[Price ($)]]&gt;=500,"high price","standard price")</f>
        <v>standard price</v>
      </c>
      <c r="H25" s="4" t="str">
        <f>LEFT(Table[[#This Row],[Product ID]],2)</f>
        <v>21</v>
      </c>
      <c r="I25" s="4" t="str">
        <f>RIGHT(Table[[#This Row],[Product ID]],2)</f>
        <v>CA</v>
      </c>
      <c r="J25" s="4" t="str">
        <f>MID(Table[[#This Row],[Product ID]],4,3)</f>
        <v>AUG</v>
      </c>
    </row>
    <row r="26" spans="1:10" ht="15.75" customHeight="1" x14ac:dyDescent="0.2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4" t="str">
        <f>IF(Table[[#This Row],[Price ($)]]&gt;=500,"high price","standard price")</f>
        <v>high price</v>
      </c>
      <c r="H26" s="4" t="str">
        <f>LEFT(Table[[#This Row],[Product ID]],2)</f>
        <v>29</v>
      </c>
      <c r="I26" s="4" t="str">
        <f>RIGHT(Table[[#This Row],[Product ID]],2)</f>
        <v>CA</v>
      </c>
      <c r="J26" s="4" t="str">
        <f>MID(Table[[#This Row],[Product ID]],4,3)</f>
        <v>SEP</v>
      </c>
    </row>
    <row r="27" spans="1:10" ht="15.75" customHeight="1" x14ac:dyDescent="0.2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4" t="str">
        <f>IF(Table[[#This Row],[Price ($)]]&gt;=500,"high price","standard price")</f>
        <v>standard price</v>
      </c>
      <c r="H27" s="4" t="str">
        <f>LEFT(Table[[#This Row],[Product ID]],2)</f>
        <v>03</v>
      </c>
      <c r="I27" s="4" t="str">
        <f>RIGHT(Table[[#This Row],[Product ID]],2)</f>
        <v>CA</v>
      </c>
      <c r="J27" s="4" t="str">
        <f>MID(Table[[#This Row],[Product ID]],4,3)</f>
        <v>JUN</v>
      </c>
    </row>
    <row r="28" spans="1:10" ht="15.75" customHeight="1" x14ac:dyDescent="0.2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4" t="str">
        <f>IF(Table[[#This Row],[Price ($)]]&gt;=500,"high price","standard price")</f>
        <v>standard price</v>
      </c>
      <c r="H28" s="4" t="str">
        <f>LEFT(Table[[#This Row],[Product ID]],2)</f>
        <v>11</v>
      </c>
      <c r="I28" s="4" t="str">
        <f>RIGHT(Table[[#This Row],[Product ID]],2)</f>
        <v>CA</v>
      </c>
      <c r="J28" s="4" t="str">
        <f>MID(Table[[#This Row],[Product ID]],4,3)</f>
        <v>JUL</v>
      </c>
    </row>
    <row r="29" spans="1:10" ht="15.75" customHeight="1" x14ac:dyDescent="0.2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4" t="str">
        <f>IF(Table[[#This Row],[Price ($)]]&gt;=500,"high price","standard price")</f>
        <v>standard price</v>
      </c>
      <c r="H29" s="4" t="str">
        <f>LEFT(Table[[#This Row],[Product ID]],2)</f>
        <v>16</v>
      </c>
      <c r="I29" s="4" t="str">
        <f>RIGHT(Table[[#This Row],[Product ID]],2)</f>
        <v>ES</v>
      </c>
      <c r="J29" s="4" t="str">
        <f>MID(Table[[#This Row],[Product ID]],4,3)</f>
        <v>APR</v>
      </c>
    </row>
    <row r="30" spans="1:10" ht="15.75" customHeight="1" x14ac:dyDescent="0.2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4" t="str">
        <f>IF(Table[[#This Row],[Price ($)]]&gt;=500,"high price","standard price")</f>
        <v>standard price</v>
      </c>
      <c r="H30" s="4" t="str">
        <f>LEFT(Table[[#This Row],[Product ID]],2)</f>
        <v>07</v>
      </c>
      <c r="I30" s="4" t="str">
        <f>RIGHT(Table[[#This Row],[Product ID]],2)</f>
        <v>CA</v>
      </c>
      <c r="J30" s="4" t="str">
        <f>MID(Table[[#This Row],[Product ID]],4,3)</f>
        <v>MAR</v>
      </c>
    </row>
    <row r="31" spans="1:10" ht="15.75" customHeight="1" x14ac:dyDescent="0.2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4" t="str">
        <f>IF(Table[[#This Row],[Price ($)]]&gt;=500,"high price","standard price")</f>
        <v>standard price</v>
      </c>
      <c r="H31" s="4" t="str">
        <f>LEFT(Table[[#This Row],[Product ID]],2)</f>
        <v>13</v>
      </c>
      <c r="I31" s="4" t="str">
        <f>RIGHT(Table[[#This Row],[Product ID]],2)</f>
        <v>CA</v>
      </c>
      <c r="J31" s="4" t="str">
        <f>MID(Table[[#This Row],[Product ID]],4,3)</f>
        <v>APR</v>
      </c>
    </row>
    <row r="32" spans="1:10" ht="15.75" customHeight="1" x14ac:dyDescent="0.2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4" t="str">
        <f>IF(Table[[#This Row],[Price ($)]]&gt;=500,"high price","standard price")</f>
        <v>standard price</v>
      </c>
      <c r="H32" s="4" t="str">
        <f>LEFT(Table[[#This Row],[Product ID]],2)</f>
        <v>24</v>
      </c>
      <c r="I32" s="4" t="str">
        <f>RIGHT(Table[[#This Row],[Product ID]],2)</f>
        <v>CA</v>
      </c>
      <c r="J32" s="4" t="str">
        <f>MID(Table[[#This Row],[Product ID]],4,3)</f>
        <v>MAY</v>
      </c>
    </row>
    <row r="33" spans="1:10" ht="15.75" customHeight="1" x14ac:dyDescent="0.2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4" t="str">
        <f>IF(Table[[#This Row],[Price ($)]]&gt;=500,"high price","standard price")</f>
        <v>standard price</v>
      </c>
      <c r="H33" s="4" t="str">
        <f>LEFT(Table[[#This Row],[Product ID]],2)</f>
        <v>02</v>
      </c>
      <c r="I33" s="4" t="str">
        <f>RIGHT(Table[[#This Row],[Product ID]],2)</f>
        <v>CA</v>
      </c>
      <c r="J33" s="4" t="str">
        <f>MID(Table[[#This Row],[Product ID]],4,3)</f>
        <v>DEC</v>
      </c>
    </row>
    <row r="34" spans="1:10" ht="15.75" customHeight="1" x14ac:dyDescent="0.2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4" t="str">
        <f>IF(Table[[#This Row],[Price ($)]]&gt;=500,"high price","standard price")</f>
        <v>high price</v>
      </c>
      <c r="H34" s="4" t="str">
        <f>LEFT(Table[[#This Row],[Product ID]],2)</f>
        <v>17</v>
      </c>
      <c r="I34" s="4" t="str">
        <f>RIGHT(Table[[#This Row],[Product ID]],2)</f>
        <v>IN</v>
      </c>
      <c r="J34" s="4" t="str">
        <f>MID(Table[[#This Row],[Product ID]],4,3)</f>
        <v>JUN</v>
      </c>
    </row>
    <row r="35" spans="1:10" ht="15.75" customHeight="1" x14ac:dyDescent="0.2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4" t="str">
        <f>IF(Table[[#This Row],[Price ($)]]&gt;=500,"high price","standard price")</f>
        <v>standard price</v>
      </c>
      <c r="H35" s="4" t="str">
        <f>LEFT(Table[[#This Row],[Product ID]],2)</f>
        <v>09</v>
      </c>
      <c r="I35" s="4" t="str">
        <f>RIGHT(Table[[#This Row],[Product ID]],2)</f>
        <v>FR</v>
      </c>
      <c r="J35" s="4" t="str">
        <f>MID(Table[[#This Row],[Product ID]],4,3)</f>
        <v>JUL</v>
      </c>
    </row>
    <row r="36" spans="1:10" ht="15.75" customHeight="1" x14ac:dyDescent="0.2"/>
    <row r="37" spans="1:10" ht="15.75" customHeight="1" x14ac:dyDescent="0.2"/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AB698-403D-44C3-B71B-7BA5513917D9}">
  <dimension ref="A1:G1000"/>
  <sheetViews>
    <sheetView workbookViewId="0">
      <selection activeCell="G2" sqref="G2"/>
    </sheetView>
  </sheetViews>
  <sheetFormatPr defaultColWidth="12.5703125" defaultRowHeight="12.75" x14ac:dyDescent="0.2"/>
  <cols>
    <col min="2" max="2" width="14.14062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customFormat="1" ht="15.75" customHeight="1" x14ac:dyDescent="0.2"/>
    <row r="50" customFormat="1" ht="15.75" customHeight="1" x14ac:dyDescent="0.2"/>
    <row r="51" customFormat="1" ht="15.75" customHeight="1" x14ac:dyDescent="0.2"/>
    <row r="52" customFormat="1" ht="15.75" customHeight="1" x14ac:dyDescent="0.2"/>
    <row r="53" customFormat="1" ht="15.75" customHeight="1" x14ac:dyDescent="0.2"/>
    <row r="54" customFormat="1" ht="15.75" customHeight="1" x14ac:dyDescent="0.2"/>
    <row r="55" customFormat="1" ht="15.75" customHeight="1" x14ac:dyDescent="0.2"/>
    <row r="56" customFormat="1" ht="15.75" customHeight="1" x14ac:dyDescent="0.2"/>
    <row r="57" customFormat="1" ht="15.75" customHeight="1" x14ac:dyDescent="0.2"/>
    <row r="58" customFormat="1" ht="15.75" customHeight="1" x14ac:dyDescent="0.2"/>
    <row r="59" customFormat="1" ht="15.75" customHeight="1" x14ac:dyDescent="0.2"/>
    <row r="60" customFormat="1" ht="15.75" customHeight="1" x14ac:dyDescent="0.2"/>
    <row r="61" customFormat="1" ht="15.75" customHeight="1" x14ac:dyDescent="0.2"/>
    <row r="62" customFormat="1" ht="15.75" customHeight="1" x14ac:dyDescent="0.2"/>
    <row r="63" customFormat="1" ht="15.75" customHeight="1" x14ac:dyDescent="0.2"/>
    <row r="64" customFormat="1" ht="15.75" customHeight="1" x14ac:dyDescent="0.2"/>
    <row r="65" customFormat="1" ht="15.75" customHeight="1" x14ac:dyDescent="0.2"/>
    <row r="66" customFormat="1" ht="15.75" customHeight="1" x14ac:dyDescent="0.2"/>
    <row r="67" customFormat="1" ht="15.75" customHeight="1" x14ac:dyDescent="0.2"/>
    <row r="68" customFormat="1" ht="15.75" customHeight="1" x14ac:dyDescent="0.2"/>
    <row r="69" customFormat="1" ht="15.75" customHeight="1" x14ac:dyDescent="0.2"/>
    <row r="70" customFormat="1" ht="15.75" customHeight="1" x14ac:dyDescent="0.2"/>
    <row r="71" customFormat="1" ht="15.75" customHeight="1" x14ac:dyDescent="0.2"/>
    <row r="72" customFormat="1" ht="15.75" customHeight="1" x14ac:dyDescent="0.2"/>
    <row r="73" customFormat="1" ht="15.75" customHeight="1" x14ac:dyDescent="0.2"/>
    <row r="74" customFormat="1" ht="15.75" customHeight="1" x14ac:dyDescent="0.2"/>
    <row r="75" customFormat="1" ht="15.75" customHeight="1" x14ac:dyDescent="0.2"/>
    <row r="76" customFormat="1" ht="15.75" customHeight="1" x14ac:dyDescent="0.2"/>
    <row r="77" customFormat="1" ht="15.75" customHeight="1" x14ac:dyDescent="0.2"/>
    <row r="78" customFormat="1" ht="15.75" customHeight="1" x14ac:dyDescent="0.2"/>
    <row r="79" customFormat="1" ht="15.75" customHeight="1" x14ac:dyDescent="0.2"/>
    <row r="80" customFormat="1" ht="15.75" customHeight="1" x14ac:dyDescent="0.2"/>
    <row r="81" customFormat="1" ht="15.75" customHeight="1" x14ac:dyDescent="0.2"/>
    <row r="82" customFormat="1" ht="15.75" customHeight="1" x14ac:dyDescent="0.2"/>
    <row r="83" customFormat="1" ht="15.75" customHeight="1" x14ac:dyDescent="0.2"/>
    <row r="84" customFormat="1" ht="15.75" customHeight="1" x14ac:dyDescent="0.2"/>
    <row r="85" customFormat="1" ht="15.75" customHeight="1" x14ac:dyDescent="0.2"/>
    <row r="86" customFormat="1" ht="15.75" customHeight="1" x14ac:dyDescent="0.2"/>
    <row r="87" customFormat="1" ht="15.75" customHeight="1" x14ac:dyDescent="0.2"/>
    <row r="88" customFormat="1" ht="15.75" customHeight="1" x14ac:dyDescent="0.2"/>
    <row r="89" customFormat="1" ht="15.75" customHeight="1" x14ac:dyDescent="0.2"/>
    <row r="90" customFormat="1" ht="15.75" customHeight="1" x14ac:dyDescent="0.2"/>
    <row r="91" customFormat="1" ht="15.75" customHeight="1" x14ac:dyDescent="0.2"/>
    <row r="92" customFormat="1" ht="15.75" customHeight="1" x14ac:dyDescent="0.2"/>
    <row r="93" customFormat="1" ht="15.75" customHeight="1" x14ac:dyDescent="0.2"/>
    <row r="94" customFormat="1" ht="15.75" customHeight="1" x14ac:dyDescent="0.2"/>
    <row r="95" customFormat="1" ht="15.75" customHeight="1" x14ac:dyDescent="0.2"/>
    <row r="96" customFormat="1" ht="15.75" customHeight="1" x14ac:dyDescent="0.2"/>
    <row r="97" customFormat="1" ht="15.75" customHeight="1" x14ac:dyDescent="0.2"/>
    <row r="98" customFormat="1" ht="15.75" customHeight="1" x14ac:dyDescent="0.2"/>
    <row r="99" customFormat="1" ht="15.75" customHeight="1" x14ac:dyDescent="0.2"/>
    <row r="100" customFormat="1" ht="15.75" customHeight="1" x14ac:dyDescent="0.2"/>
    <row r="101" customFormat="1" ht="15.75" customHeight="1" x14ac:dyDescent="0.2"/>
    <row r="102" customFormat="1" ht="15.75" customHeight="1" x14ac:dyDescent="0.2"/>
    <row r="103" customFormat="1" ht="15.75" customHeight="1" x14ac:dyDescent="0.2"/>
    <row r="104" customFormat="1" ht="15.75" customHeight="1" x14ac:dyDescent="0.2"/>
    <row r="105" customFormat="1" ht="15.75" customHeight="1" x14ac:dyDescent="0.2"/>
    <row r="106" customFormat="1" ht="15.75" customHeight="1" x14ac:dyDescent="0.2"/>
    <row r="107" customFormat="1" ht="15.75" customHeight="1" x14ac:dyDescent="0.2"/>
    <row r="108" customFormat="1" ht="15.75" customHeight="1" x14ac:dyDescent="0.2"/>
    <row r="109" customFormat="1" ht="15.75" customHeight="1" x14ac:dyDescent="0.2"/>
    <row r="110" customFormat="1" ht="15.75" customHeight="1" x14ac:dyDescent="0.2"/>
    <row r="111" customFormat="1" ht="15.75" customHeight="1" x14ac:dyDescent="0.2"/>
    <row r="112" customFormat="1" ht="15.75" customHeight="1" x14ac:dyDescent="0.2"/>
    <row r="113" customFormat="1" ht="15.75" customHeight="1" x14ac:dyDescent="0.2"/>
    <row r="114" customFormat="1" ht="15.75" customHeight="1" x14ac:dyDescent="0.2"/>
    <row r="115" customFormat="1" ht="15.75" customHeight="1" x14ac:dyDescent="0.2"/>
    <row r="116" customFormat="1" ht="15.75" customHeight="1" x14ac:dyDescent="0.2"/>
    <row r="117" customFormat="1" ht="15.75" customHeight="1" x14ac:dyDescent="0.2"/>
    <row r="118" customFormat="1" ht="15.75" customHeight="1" x14ac:dyDescent="0.2"/>
    <row r="119" customFormat="1" ht="15.75" customHeight="1" x14ac:dyDescent="0.2"/>
    <row r="120" customFormat="1" ht="15.75" customHeight="1" x14ac:dyDescent="0.2"/>
    <row r="121" customFormat="1" ht="15.75" customHeight="1" x14ac:dyDescent="0.2"/>
    <row r="122" customFormat="1" ht="15.75" customHeight="1" x14ac:dyDescent="0.2"/>
    <row r="123" customFormat="1" ht="15.75" customHeight="1" x14ac:dyDescent="0.2"/>
    <row r="124" customFormat="1" ht="15.75" customHeight="1" x14ac:dyDescent="0.2"/>
    <row r="125" customFormat="1" ht="15.75" customHeight="1" x14ac:dyDescent="0.2"/>
    <row r="126" customFormat="1" ht="15.75" customHeight="1" x14ac:dyDescent="0.2"/>
    <row r="127" customFormat="1" ht="15.75" customHeight="1" x14ac:dyDescent="0.2"/>
    <row r="128" customFormat="1" ht="15.75" customHeight="1" x14ac:dyDescent="0.2"/>
    <row r="129" customFormat="1" ht="15.75" customHeight="1" x14ac:dyDescent="0.2"/>
    <row r="130" customFormat="1" ht="15.75" customHeight="1" x14ac:dyDescent="0.2"/>
    <row r="131" customFormat="1" ht="15.75" customHeight="1" x14ac:dyDescent="0.2"/>
    <row r="132" customFormat="1" ht="15.75" customHeight="1" x14ac:dyDescent="0.2"/>
    <row r="133" customFormat="1" ht="15.75" customHeight="1" x14ac:dyDescent="0.2"/>
    <row r="134" customFormat="1" ht="15.75" customHeight="1" x14ac:dyDescent="0.2"/>
    <row r="135" customFormat="1" ht="15.75" customHeight="1" x14ac:dyDescent="0.2"/>
    <row r="136" customFormat="1" ht="15.75" customHeight="1" x14ac:dyDescent="0.2"/>
    <row r="137" customFormat="1" ht="15.75" customHeight="1" x14ac:dyDescent="0.2"/>
    <row r="138" customFormat="1" ht="15.75" customHeight="1" x14ac:dyDescent="0.2"/>
    <row r="139" customFormat="1" ht="15.75" customHeight="1" x14ac:dyDescent="0.2"/>
    <row r="140" customFormat="1" ht="15.75" customHeight="1" x14ac:dyDescent="0.2"/>
    <row r="141" customFormat="1" ht="15.75" customHeight="1" x14ac:dyDescent="0.2"/>
    <row r="142" customFormat="1" ht="15.75" customHeight="1" x14ac:dyDescent="0.2"/>
    <row r="143" customFormat="1" ht="15.75" customHeight="1" x14ac:dyDescent="0.2"/>
    <row r="144" customFormat="1" ht="15.75" customHeight="1" x14ac:dyDescent="0.2"/>
    <row r="145" customFormat="1" ht="15.75" customHeight="1" x14ac:dyDescent="0.2"/>
    <row r="146" customFormat="1" ht="15.75" customHeight="1" x14ac:dyDescent="0.2"/>
    <row r="147" customFormat="1" ht="15.75" customHeight="1" x14ac:dyDescent="0.2"/>
    <row r="148" customFormat="1" ht="15.75" customHeight="1" x14ac:dyDescent="0.2"/>
    <row r="149" customFormat="1" ht="15.75" customHeight="1" x14ac:dyDescent="0.2"/>
    <row r="150" customFormat="1" ht="15.75" customHeight="1" x14ac:dyDescent="0.2"/>
    <row r="151" customFormat="1" ht="15.75" customHeight="1" x14ac:dyDescent="0.2"/>
    <row r="152" customFormat="1" ht="15.75" customHeight="1" x14ac:dyDescent="0.2"/>
    <row r="153" customFormat="1" ht="15.75" customHeight="1" x14ac:dyDescent="0.2"/>
    <row r="154" customFormat="1" ht="15.75" customHeight="1" x14ac:dyDescent="0.2"/>
    <row r="155" customFormat="1" ht="15.75" customHeight="1" x14ac:dyDescent="0.2"/>
    <row r="156" customFormat="1" ht="15.75" customHeight="1" x14ac:dyDescent="0.2"/>
    <row r="157" customFormat="1" ht="15.75" customHeight="1" x14ac:dyDescent="0.2"/>
    <row r="158" customFormat="1" ht="15.75" customHeight="1" x14ac:dyDescent="0.2"/>
    <row r="159" customFormat="1" ht="15.75" customHeight="1" x14ac:dyDescent="0.2"/>
    <row r="160" customFormat="1" ht="15.75" customHeight="1" x14ac:dyDescent="0.2"/>
    <row r="161" customFormat="1" ht="15.75" customHeight="1" x14ac:dyDescent="0.2"/>
    <row r="162" customFormat="1" ht="15.75" customHeight="1" x14ac:dyDescent="0.2"/>
    <row r="163" customFormat="1" ht="15.75" customHeight="1" x14ac:dyDescent="0.2"/>
    <row r="164" customFormat="1" ht="15.75" customHeight="1" x14ac:dyDescent="0.2"/>
    <row r="165" customFormat="1" ht="15.75" customHeight="1" x14ac:dyDescent="0.2"/>
    <row r="166" customFormat="1" ht="15.75" customHeight="1" x14ac:dyDescent="0.2"/>
    <row r="167" customFormat="1" ht="15.75" customHeight="1" x14ac:dyDescent="0.2"/>
    <row r="168" customFormat="1" ht="15.75" customHeight="1" x14ac:dyDescent="0.2"/>
    <row r="169" customFormat="1" ht="15.75" customHeight="1" x14ac:dyDescent="0.2"/>
    <row r="170" customFormat="1" ht="15.75" customHeight="1" x14ac:dyDescent="0.2"/>
    <row r="171" customFormat="1" ht="15.75" customHeight="1" x14ac:dyDescent="0.2"/>
    <row r="172" customFormat="1" ht="15.75" customHeight="1" x14ac:dyDescent="0.2"/>
    <row r="173" customFormat="1" ht="15.75" customHeight="1" x14ac:dyDescent="0.2"/>
    <row r="174" customFormat="1" ht="15.75" customHeight="1" x14ac:dyDescent="0.2"/>
    <row r="175" customFormat="1" ht="15.75" customHeight="1" x14ac:dyDescent="0.2"/>
    <row r="176" customFormat="1" ht="15.75" customHeight="1" x14ac:dyDescent="0.2"/>
    <row r="177" customFormat="1" ht="15.75" customHeight="1" x14ac:dyDescent="0.2"/>
    <row r="178" customFormat="1" ht="15.75" customHeight="1" x14ac:dyDescent="0.2"/>
    <row r="179" customFormat="1" ht="15.75" customHeight="1" x14ac:dyDescent="0.2"/>
    <row r="180" customFormat="1" ht="15.75" customHeight="1" x14ac:dyDescent="0.2"/>
    <row r="181" customFormat="1" ht="15.75" customHeight="1" x14ac:dyDescent="0.2"/>
    <row r="182" customFormat="1" ht="15.75" customHeight="1" x14ac:dyDescent="0.2"/>
    <row r="183" customFormat="1" ht="15.75" customHeight="1" x14ac:dyDescent="0.2"/>
    <row r="184" customFormat="1" ht="15.75" customHeight="1" x14ac:dyDescent="0.2"/>
    <row r="185" customFormat="1" ht="15.75" customHeight="1" x14ac:dyDescent="0.2"/>
    <row r="186" customFormat="1" ht="15.75" customHeight="1" x14ac:dyDescent="0.2"/>
    <row r="187" customFormat="1" ht="15.75" customHeight="1" x14ac:dyDescent="0.2"/>
    <row r="188" customFormat="1" ht="15.75" customHeight="1" x14ac:dyDescent="0.2"/>
    <row r="189" customFormat="1" ht="15.75" customHeight="1" x14ac:dyDescent="0.2"/>
    <row r="190" customFormat="1" ht="15.75" customHeight="1" x14ac:dyDescent="0.2"/>
    <row r="191" customFormat="1" ht="15.75" customHeight="1" x14ac:dyDescent="0.2"/>
    <row r="192" customFormat="1" ht="15.75" customHeight="1" x14ac:dyDescent="0.2"/>
    <row r="193" customFormat="1" ht="15.75" customHeight="1" x14ac:dyDescent="0.2"/>
    <row r="194" customFormat="1" ht="15.75" customHeight="1" x14ac:dyDescent="0.2"/>
    <row r="195" customFormat="1" ht="15.75" customHeight="1" x14ac:dyDescent="0.2"/>
    <row r="196" customFormat="1" ht="15.75" customHeight="1" x14ac:dyDescent="0.2"/>
    <row r="197" customFormat="1" ht="15.75" customHeight="1" x14ac:dyDescent="0.2"/>
    <row r="198" customFormat="1" ht="15.75" customHeight="1" x14ac:dyDescent="0.2"/>
    <row r="199" customFormat="1" ht="15.75" customHeight="1" x14ac:dyDescent="0.2"/>
    <row r="200" customFormat="1" ht="15.75" customHeight="1" x14ac:dyDescent="0.2"/>
    <row r="201" customFormat="1" ht="15.75" customHeight="1" x14ac:dyDescent="0.2"/>
    <row r="202" customFormat="1" ht="15.75" customHeight="1" x14ac:dyDescent="0.2"/>
    <row r="203" customFormat="1" ht="15.75" customHeight="1" x14ac:dyDescent="0.2"/>
    <row r="204" customFormat="1" ht="15.75" customHeight="1" x14ac:dyDescent="0.2"/>
    <row r="205" customFormat="1" ht="15.75" customHeight="1" x14ac:dyDescent="0.2"/>
    <row r="206" customFormat="1" ht="15.75" customHeight="1" x14ac:dyDescent="0.2"/>
    <row r="207" customFormat="1" ht="15.75" customHeight="1" x14ac:dyDescent="0.2"/>
    <row r="208" customFormat="1" ht="15.75" customHeight="1" x14ac:dyDescent="0.2"/>
    <row r="209" customFormat="1" ht="15.75" customHeight="1" x14ac:dyDescent="0.2"/>
    <row r="210" customFormat="1" ht="15.75" customHeight="1" x14ac:dyDescent="0.2"/>
    <row r="211" customFormat="1" ht="15.75" customHeight="1" x14ac:dyDescent="0.2"/>
    <row r="212" customFormat="1" ht="15.75" customHeight="1" x14ac:dyDescent="0.2"/>
    <row r="213" customFormat="1" ht="15.75" customHeight="1" x14ac:dyDescent="0.2"/>
    <row r="214" customFormat="1" ht="15.75" customHeight="1" x14ac:dyDescent="0.2"/>
    <row r="215" customFormat="1" ht="15.75" customHeight="1" x14ac:dyDescent="0.2"/>
    <row r="216" customFormat="1" ht="15.75" customHeight="1" x14ac:dyDescent="0.2"/>
    <row r="217" customFormat="1" ht="15.75" customHeight="1" x14ac:dyDescent="0.2"/>
    <row r="218" customFormat="1" ht="15.75" customHeight="1" x14ac:dyDescent="0.2"/>
    <row r="219" customFormat="1" ht="15.75" customHeight="1" x14ac:dyDescent="0.2"/>
    <row r="220" customFormat="1" ht="15.75" customHeight="1" x14ac:dyDescent="0.2"/>
    <row r="221" customFormat="1" ht="15.75" customHeight="1" x14ac:dyDescent="0.2"/>
    <row r="222" customFormat="1" ht="15.75" customHeight="1" x14ac:dyDescent="0.2"/>
    <row r="223" customFormat="1" ht="15.75" customHeight="1" x14ac:dyDescent="0.2"/>
    <row r="224" customFormat="1" ht="15.75" customHeight="1" x14ac:dyDescent="0.2"/>
    <row r="225" customFormat="1" ht="15.75" customHeight="1" x14ac:dyDescent="0.2"/>
    <row r="226" customFormat="1" ht="15.75" customHeight="1" x14ac:dyDescent="0.2"/>
    <row r="227" customFormat="1" ht="15.75" customHeight="1" x14ac:dyDescent="0.2"/>
    <row r="228" customFormat="1" ht="15.75" customHeight="1" x14ac:dyDescent="0.2"/>
    <row r="229" customFormat="1" ht="15.75" customHeight="1" x14ac:dyDescent="0.2"/>
    <row r="230" customFormat="1" ht="15.75" customHeight="1" x14ac:dyDescent="0.2"/>
    <row r="231" customFormat="1" ht="15.75" customHeight="1" x14ac:dyDescent="0.2"/>
    <row r="232" customFormat="1" ht="15.75" customHeight="1" x14ac:dyDescent="0.2"/>
    <row r="233" customFormat="1" ht="15.75" customHeight="1" x14ac:dyDescent="0.2"/>
    <row r="234" customFormat="1" ht="15.75" customHeight="1" x14ac:dyDescent="0.2"/>
    <row r="235" customFormat="1" ht="15.75" customHeight="1" x14ac:dyDescent="0.2"/>
    <row r="236" customFormat="1" ht="15.75" customHeight="1" x14ac:dyDescent="0.2"/>
    <row r="237" customFormat="1" ht="15.75" customHeight="1" x14ac:dyDescent="0.2"/>
    <row r="238" customFormat="1" ht="15.75" customHeight="1" x14ac:dyDescent="0.2"/>
    <row r="239" customFormat="1" ht="15.75" customHeight="1" x14ac:dyDescent="0.2"/>
    <row r="240" customFormat="1" ht="15.75" customHeight="1" x14ac:dyDescent="0.2"/>
    <row r="241" customFormat="1" ht="15.75" customHeight="1" x14ac:dyDescent="0.2"/>
    <row r="242" customFormat="1" ht="15.75" customHeight="1" x14ac:dyDescent="0.2"/>
    <row r="243" customFormat="1" ht="15.75" customHeight="1" x14ac:dyDescent="0.2"/>
    <row r="244" customFormat="1" ht="15.75" customHeight="1" x14ac:dyDescent="0.2"/>
    <row r="245" customFormat="1" ht="15.75" customHeight="1" x14ac:dyDescent="0.2"/>
    <row r="246" customFormat="1" ht="15.75" customHeight="1" x14ac:dyDescent="0.2"/>
    <row r="247" customFormat="1" ht="15.75" customHeight="1" x14ac:dyDescent="0.2"/>
    <row r="248" customFormat="1" ht="15.75" customHeight="1" x14ac:dyDescent="0.2"/>
    <row r="249" customFormat="1" ht="15.75" customHeight="1" x14ac:dyDescent="0.2"/>
    <row r="250" customFormat="1" ht="15.75" customHeight="1" x14ac:dyDescent="0.2"/>
    <row r="251" customFormat="1" ht="15.75" customHeight="1" x14ac:dyDescent="0.2"/>
    <row r="252" customFormat="1" ht="15.75" customHeight="1" x14ac:dyDescent="0.2"/>
    <row r="253" customFormat="1" ht="15.75" customHeight="1" x14ac:dyDescent="0.2"/>
    <row r="254" customFormat="1" ht="15.75" customHeight="1" x14ac:dyDescent="0.2"/>
    <row r="255" customFormat="1" ht="15.75" customHeight="1" x14ac:dyDescent="0.2"/>
    <row r="256" customFormat="1" ht="15.75" customHeight="1" x14ac:dyDescent="0.2"/>
    <row r="257" customFormat="1" ht="15.75" customHeight="1" x14ac:dyDescent="0.2"/>
    <row r="258" customFormat="1" ht="15.75" customHeight="1" x14ac:dyDescent="0.2"/>
    <row r="259" customFormat="1" ht="15.75" customHeight="1" x14ac:dyDescent="0.2"/>
    <row r="260" customFormat="1" ht="15.75" customHeight="1" x14ac:dyDescent="0.2"/>
    <row r="261" customFormat="1" ht="15.75" customHeight="1" x14ac:dyDescent="0.2"/>
    <row r="262" customFormat="1" ht="15.75" customHeight="1" x14ac:dyDescent="0.2"/>
    <row r="263" customFormat="1" ht="15.75" customHeight="1" x14ac:dyDescent="0.2"/>
    <row r="264" customFormat="1" ht="15.75" customHeight="1" x14ac:dyDescent="0.2"/>
    <row r="265" customFormat="1" ht="15.75" customHeight="1" x14ac:dyDescent="0.2"/>
    <row r="266" customFormat="1" ht="15.75" customHeight="1" x14ac:dyDescent="0.2"/>
    <row r="267" customFormat="1" ht="15.75" customHeight="1" x14ac:dyDescent="0.2"/>
    <row r="268" customFormat="1" ht="15.75" customHeight="1" x14ac:dyDescent="0.2"/>
    <row r="269" customFormat="1" ht="15.75" customHeight="1" x14ac:dyDescent="0.2"/>
    <row r="270" customFormat="1" ht="15.75" customHeight="1" x14ac:dyDescent="0.2"/>
    <row r="271" customFormat="1" ht="15.75" customHeight="1" x14ac:dyDescent="0.2"/>
    <row r="272" customFormat="1" ht="15.75" customHeight="1" x14ac:dyDescent="0.2"/>
    <row r="273" customFormat="1" ht="15.75" customHeight="1" x14ac:dyDescent="0.2"/>
    <row r="274" customFormat="1" ht="15.75" customHeight="1" x14ac:dyDescent="0.2"/>
    <row r="275" customFormat="1" ht="15.75" customHeight="1" x14ac:dyDescent="0.2"/>
    <row r="276" customFormat="1" ht="15.75" customHeight="1" x14ac:dyDescent="0.2"/>
    <row r="277" customFormat="1" ht="15.75" customHeight="1" x14ac:dyDescent="0.2"/>
    <row r="278" customFormat="1" ht="15.75" customHeight="1" x14ac:dyDescent="0.2"/>
    <row r="279" customFormat="1" ht="15.75" customHeight="1" x14ac:dyDescent="0.2"/>
    <row r="280" customFormat="1" ht="15.75" customHeight="1" x14ac:dyDescent="0.2"/>
    <row r="281" customFormat="1" ht="15.75" customHeight="1" x14ac:dyDescent="0.2"/>
    <row r="282" customFormat="1" ht="15.75" customHeight="1" x14ac:dyDescent="0.2"/>
    <row r="283" customFormat="1" ht="15.75" customHeight="1" x14ac:dyDescent="0.2"/>
    <row r="284" customFormat="1" ht="15.75" customHeight="1" x14ac:dyDescent="0.2"/>
    <row r="285" customFormat="1" ht="15.75" customHeight="1" x14ac:dyDescent="0.2"/>
    <row r="286" customFormat="1" ht="15.75" customHeight="1" x14ac:dyDescent="0.2"/>
    <row r="287" customFormat="1" ht="15.75" customHeight="1" x14ac:dyDescent="0.2"/>
    <row r="288" customFormat="1" ht="15.75" customHeight="1" x14ac:dyDescent="0.2"/>
    <row r="289" customFormat="1" ht="15.75" customHeight="1" x14ac:dyDescent="0.2"/>
    <row r="290" customFormat="1" ht="15.75" customHeight="1" x14ac:dyDescent="0.2"/>
    <row r="291" customFormat="1" ht="15.75" customHeight="1" x14ac:dyDescent="0.2"/>
    <row r="292" customFormat="1" ht="15.75" customHeight="1" x14ac:dyDescent="0.2"/>
    <row r="293" customFormat="1" ht="15.75" customHeight="1" x14ac:dyDescent="0.2"/>
    <row r="294" customFormat="1" ht="15.75" customHeight="1" x14ac:dyDescent="0.2"/>
    <row r="295" customFormat="1" ht="15.75" customHeight="1" x14ac:dyDescent="0.2"/>
    <row r="296" customFormat="1" ht="15.75" customHeight="1" x14ac:dyDescent="0.2"/>
    <row r="297" customFormat="1" ht="15.75" customHeight="1" x14ac:dyDescent="0.2"/>
    <row r="298" customFormat="1" ht="15.75" customHeight="1" x14ac:dyDescent="0.2"/>
    <row r="299" customFormat="1" ht="15.75" customHeight="1" x14ac:dyDescent="0.2"/>
    <row r="300" customFormat="1" ht="15.75" customHeight="1" x14ac:dyDescent="0.2"/>
    <row r="301" customFormat="1" ht="15.75" customHeight="1" x14ac:dyDescent="0.2"/>
    <row r="302" customFormat="1" ht="15.75" customHeight="1" x14ac:dyDescent="0.2"/>
    <row r="303" customFormat="1" ht="15.75" customHeight="1" x14ac:dyDescent="0.2"/>
    <row r="304" customFormat="1" ht="15.75" customHeight="1" x14ac:dyDescent="0.2"/>
    <row r="305" customFormat="1" ht="15.75" customHeight="1" x14ac:dyDescent="0.2"/>
    <row r="306" customFormat="1" ht="15.75" customHeight="1" x14ac:dyDescent="0.2"/>
    <row r="307" customFormat="1" ht="15.75" customHeight="1" x14ac:dyDescent="0.2"/>
    <row r="308" customFormat="1" ht="15.75" customHeight="1" x14ac:dyDescent="0.2"/>
    <row r="309" customFormat="1" ht="15.75" customHeight="1" x14ac:dyDescent="0.2"/>
    <row r="310" customFormat="1" ht="15.75" customHeight="1" x14ac:dyDescent="0.2"/>
    <row r="311" customFormat="1" ht="15.75" customHeight="1" x14ac:dyDescent="0.2"/>
    <row r="312" customFormat="1" ht="15.75" customHeight="1" x14ac:dyDescent="0.2"/>
    <row r="313" customFormat="1" ht="15.75" customHeight="1" x14ac:dyDescent="0.2"/>
    <row r="314" customFormat="1" ht="15.75" customHeight="1" x14ac:dyDescent="0.2"/>
    <row r="315" customFormat="1" ht="15.75" customHeight="1" x14ac:dyDescent="0.2"/>
    <row r="316" customFormat="1" ht="15.75" customHeight="1" x14ac:dyDescent="0.2"/>
    <row r="317" customFormat="1" ht="15.75" customHeight="1" x14ac:dyDescent="0.2"/>
    <row r="318" customFormat="1" ht="15.75" customHeight="1" x14ac:dyDescent="0.2"/>
    <row r="319" customFormat="1" ht="15.75" customHeight="1" x14ac:dyDescent="0.2"/>
    <row r="320" customFormat="1" ht="15.75" customHeight="1" x14ac:dyDescent="0.2"/>
    <row r="321" customFormat="1" ht="15.75" customHeight="1" x14ac:dyDescent="0.2"/>
    <row r="322" customFormat="1" ht="15.75" customHeight="1" x14ac:dyDescent="0.2"/>
    <row r="323" customFormat="1" ht="15.75" customHeight="1" x14ac:dyDescent="0.2"/>
    <row r="324" customFormat="1" ht="15.75" customHeight="1" x14ac:dyDescent="0.2"/>
    <row r="325" customFormat="1" ht="15.75" customHeight="1" x14ac:dyDescent="0.2"/>
    <row r="326" customFormat="1" ht="15.75" customHeight="1" x14ac:dyDescent="0.2"/>
    <row r="327" customFormat="1" ht="15.75" customHeight="1" x14ac:dyDescent="0.2"/>
    <row r="328" customFormat="1" ht="15.75" customHeight="1" x14ac:dyDescent="0.2"/>
    <row r="329" customFormat="1" ht="15.75" customHeight="1" x14ac:dyDescent="0.2"/>
    <row r="330" customFormat="1" ht="15.75" customHeight="1" x14ac:dyDescent="0.2"/>
    <row r="331" customFormat="1" ht="15.75" customHeight="1" x14ac:dyDescent="0.2"/>
    <row r="332" customFormat="1" ht="15.75" customHeight="1" x14ac:dyDescent="0.2"/>
    <row r="333" customFormat="1" ht="15.75" customHeight="1" x14ac:dyDescent="0.2"/>
    <row r="334" customFormat="1" ht="15.75" customHeight="1" x14ac:dyDescent="0.2"/>
    <row r="335" customFormat="1" ht="15.75" customHeight="1" x14ac:dyDescent="0.2"/>
    <row r="336" customFormat="1" ht="15.75" customHeight="1" x14ac:dyDescent="0.2"/>
    <row r="337" customFormat="1" ht="15.75" customHeight="1" x14ac:dyDescent="0.2"/>
    <row r="338" customFormat="1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.75" customHeight="1" x14ac:dyDescent="0.2"/>
    <row r="791" customFormat="1" ht="15.75" customHeight="1" x14ac:dyDescent="0.2"/>
    <row r="792" customFormat="1" ht="15.75" customHeight="1" x14ac:dyDescent="0.2"/>
    <row r="793" customFormat="1" ht="15.75" customHeight="1" x14ac:dyDescent="0.2"/>
    <row r="794" customFormat="1" ht="15.75" customHeight="1" x14ac:dyDescent="0.2"/>
    <row r="795" customFormat="1" ht="15.75" customHeight="1" x14ac:dyDescent="0.2"/>
    <row r="796" customFormat="1" ht="15.75" customHeight="1" x14ac:dyDescent="0.2"/>
    <row r="797" customFormat="1" ht="15.75" customHeight="1" x14ac:dyDescent="0.2"/>
    <row r="798" customFormat="1" ht="15.75" customHeight="1" x14ac:dyDescent="0.2"/>
    <row r="799" customFormat="1" ht="15.75" customHeight="1" x14ac:dyDescent="0.2"/>
    <row r="800" customFormat="1" ht="15.75" customHeight="1" x14ac:dyDescent="0.2"/>
    <row r="801" customFormat="1" ht="15.75" customHeight="1" x14ac:dyDescent="0.2"/>
    <row r="802" customFormat="1" ht="15.75" customHeight="1" x14ac:dyDescent="0.2"/>
    <row r="803" customFormat="1" ht="15.75" customHeight="1" x14ac:dyDescent="0.2"/>
    <row r="804" customFormat="1" ht="15.75" customHeight="1" x14ac:dyDescent="0.2"/>
    <row r="805" customFormat="1" ht="15.75" customHeight="1" x14ac:dyDescent="0.2"/>
    <row r="806" customFormat="1" ht="15.75" customHeight="1" x14ac:dyDescent="0.2"/>
    <row r="807" customFormat="1" ht="15.75" customHeight="1" x14ac:dyDescent="0.2"/>
    <row r="808" customFormat="1" ht="15.75" customHeight="1" x14ac:dyDescent="0.2"/>
    <row r="809" customFormat="1" ht="15.75" customHeight="1" x14ac:dyDescent="0.2"/>
    <row r="810" customFormat="1" ht="15.75" customHeight="1" x14ac:dyDescent="0.2"/>
    <row r="811" customFormat="1" ht="15.75" customHeight="1" x14ac:dyDescent="0.2"/>
    <row r="812" customFormat="1" ht="15.75" customHeight="1" x14ac:dyDescent="0.2"/>
    <row r="813" customFormat="1" ht="15.75" customHeight="1" x14ac:dyDescent="0.2"/>
    <row r="814" customFormat="1" ht="15.75" customHeight="1" x14ac:dyDescent="0.2"/>
    <row r="815" customFormat="1" ht="15.75" customHeight="1" x14ac:dyDescent="0.2"/>
    <row r="816" customFormat="1" ht="15.75" customHeight="1" x14ac:dyDescent="0.2"/>
    <row r="817" customFormat="1" ht="15.75" customHeight="1" x14ac:dyDescent="0.2"/>
    <row r="818" customFormat="1" ht="15.75" customHeight="1" x14ac:dyDescent="0.2"/>
    <row r="819" customFormat="1" ht="15.75" customHeight="1" x14ac:dyDescent="0.2"/>
    <row r="820" customFormat="1" ht="15.75" customHeight="1" x14ac:dyDescent="0.2"/>
    <row r="821" customFormat="1" ht="15.75" customHeight="1" x14ac:dyDescent="0.2"/>
    <row r="822" customFormat="1" ht="15.75" customHeight="1" x14ac:dyDescent="0.2"/>
    <row r="823" customFormat="1" ht="15.75" customHeight="1" x14ac:dyDescent="0.2"/>
    <row r="824" customFormat="1" ht="15.75" customHeight="1" x14ac:dyDescent="0.2"/>
    <row r="825" customFormat="1" ht="15.75" customHeight="1" x14ac:dyDescent="0.2"/>
    <row r="826" customFormat="1" ht="15.75" customHeight="1" x14ac:dyDescent="0.2"/>
    <row r="827" customFormat="1" ht="15.75" customHeight="1" x14ac:dyDescent="0.2"/>
    <row r="828" customFormat="1" ht="15.75" customHeight="1" x14ac:dyDescent="0.2"/>
    <row r="829" customFormat="1" ht="15.75" customHeight="1" x14ac:dyDescent="0.2"/>
    <row r="830" customFormat="1" ht="15.75" customHeight="1" x14ac:dyDescent="0.2"/>
    <row r="831" customFormat="1" ht="15.75" customHeight="1" x14ac:dyDescent="0.2"/>
    <row r="832" customFormat="1" ht="15.75" customHeight="1" x14ac:dyDescent="0.2"/>
    <row r="833" customFormat="1" ht="15.75" customHeight="1" x14ac:dyDescent="0.2"/>
    <row r="834" customFormat="1" ht="15.75" customHeight="1" x14ac:dyDescent="0.2"/>
    <row r="835" customFormat="1" ht="15.75" customHeight="1" x14ac:dyDescent="0.2"/>
    <row r="836" customFormat="1" ht="15.75" customHeight="1" x14ac:dyDescent="0.2"/>
    <row r="837" customFormat="1" ht="15.75" customHeight="1" x14ac:dyDescent="0.2"/>
    <row r="838" customFormat="1" ht="15.75" customHeight="1" x14ac:dyDescent="0.2"/>
    <row r="839" customFormat="1" ht="15.75" customHeight="1" x14ac:dyDescent="0.2"/>
    <row r="840" customFormat="1" ht="15.75" customHeight="1" x14ac:dyDescent="0.2"/>
    <row r="841" customFormat="1" ht="15.75" customHeight="1" x14ac:dyDescent="0.2"/>
    <row r="842" customFormat="1" ht="15.75" customHeight="1" x14ac:dyDescent="0.2"/>
    <row r="843" customFormat="1" ht="15.75" customHeight="1" x14ac:dyDescent="0.2"/>
    <row r="844" customFormat="1" ht="15.75" customHeight="1" x14ac:dyDescent="0.2"/>
    <row r="845" customFormat="1" ht="15.75" customHeight="1" x14ac:dyDescent="0.2"/>
    <row r="846" customFormat="1" ht="15.75" customHeight="1" x14ac:dyDescent="0.2"/>
    <row r="847" customFormat="1" ht="15.75" customHeight="1" x14ac:dyDescent="0.2"/>
    <row r="848" customFormat="1" ht="15.75" customHeight="1" x14ac:dyDescent="0.2"/>
    <row r="849" customFormat="1" ht="15.75" customHeight="1" x14ac:dyDescent="0.2"/>
    <row r="850" customFormat="1" ht="15.75" customHeight="1" x14ac:dyDescent="0.2"/>
    <row r="851" customFormat="1" ht="15.75" customHeight="1" x14ac:dyDescent="0.2"/>
    <row r="852" customFormat="1" ht="15.75" customHeight="1" x14ac:dyDescent="0.2"/>
    <row r="853" customFormat="1" ht="15.75" customHeight="1" x14ac:dyDescent="0.2"/>
    <row r="854" customFormat="1" ht="15.75" customHeight="1" x14ac:dyDescent="0.2"/>
    <row r="855" customFormat="1" ht="15.75" customHeight="1" x14ac:dyDescent="0.2"/>
    <row r="856" customFormat="1" ht="15.75" customHeight="1" x14ac:dyDescent="0.2"/>
    <row r="857" customFormat="1" ht="15.75" customHeight="1" x14ac:dyDescent="0.2"/>
    <row r="858" customFormat="1" ht="15.75" customHeight="1" x14ac:dyDescent="0.2"/>
    <row r="859" customFormat="1" ht="15.75" customHeight="1" x14ac:dyDescent="0.2"/>
    <row r="860" customFormat="1" ht="15.75" customHeight="1" x14ac:dyDescent="0.2"/>
    <row r="861" customFormat="1" ht="15.75" customHeight="1" x14ac:dyDescent="0.2"/>
    <row r="862" customFormat="1" ht="15.75" customHeight="1" x14ac:dyDescent="0.2"/>
    <row r="863" customFormat="1" ht="15.75" customHeight="1" x14ac:dyDescent="0.2"/>
    <row r="864" customFormat="1" ht="15.75" customHeight="1" x14ac:dyDescent="0.2"/>
    <row r="865" customFormat="1" ht="15.75" customHeight="1" x14ac:dyDescent="0.2"/>
    <row r="866" customFormat="1" ht="15.75" customHeight="1" x14ac:dyDescent="0.2"/>
    <row r="867" customFormat="1" ht="15.75" customHeight="1" x14ac:dyDescent="0.2"/>
    <row r="868" customFormat="1" ht="15.75" customHeight="1" x14ac:dyDescent="0.2"/>
    <row r="869" customFormat="1" ht="15.75" customHeight="1" x14ac:dyDescent="0.2"/>
    <row r="870" customFormat="1" ht="15.75" customHeight="1" x14ac:dyDescent="0.2"/>
    <row r="871" customFormat="1" ht="15.75" customHeight="1" x14ac:dyDescent="0.2"/>
    <row r="872" customFormat="1" ht="15.75" customHeight="1" x14ac:dyDescent="0.2"/>
    <row r="873" customFormat="1" ht="15.75" customHeight="1" x14ac:dyDescent="0.2"/>
    <row r="874" customFormat="1" ht="15.75" customHeight="1" x14ac:dyDescent="0.2"/>
    <row r="875" customFormat="1" ht="15.75" customHeight="1" x14ac:dyDescent="0.2"/>
    <row r="876" customFormat="1" ht="15.75" customHeight="1" x14ac:dyDescent="0.2"/>
    <row r="877" customFormat="1" ht="15.75" customHeight="1" x14ac:dyDescent="0.2"/>
    <row r="878" customFormat="1" ht="15.75" customHeight="1" x14ac:dyDescent="0.2"/>
    <row r="879" customFormat="1" ht="15.75" customHeight="1" x14ac:dyDescent="0.2"/>
    <row r="880" customFormat="1" ht="15.75" customHeight="1" x14ac:dyDescent="0.2"/>
    <row r="881" customFormat="1" ht="15.75" customHeight="1" x14ac:dyDescent="0.2"/>
    <row r="882" customFormat="1" ht="15.75" customHeight="1" x14ac:dyDescent="0.2"/>
    <row r="883" customFormat="1" ht="15.75" customHeight="1" x14ac:dyDescent="0.2"/>
    <row r="884" customFormat="1" ht="15.75" customHeight="1" x14ac:dyDescent="0.2"/>
    <row r="885" customFormat="1" ht="15.75" customHeight="1" x14ac:dyDescent="0.2"/>
    <row r="886" customFormat="1" ht="15.75" customHeight="1" x14ac:dyDescent="0.2"/>
    <row r="887" customFormat="1" ht="15.75" customHeight="1" x14ac:dyDescent="0.2"/>
    <row r="888" customFormat="1" ht="15.75" customHeight="1" x14ac:dyDescent="0.2"/>
    <row r="889" customFormat="1" ht="15.75" customHeight="1" x14ac:dyDescent="0.2"/>
    <row r="890" customFormat="1" ht="15.75" customHeight="1" x14ac:dyDescent="0.2"/>
    <row r="891" customFormat="1" ht="15.75" customHeight="1" x14ac:dyDescent="0.2"/>
    <row r="892" customFormat="1" ht="15.75" customHeight="1" x14ac:dyDescent="0.2"/>
    <row r="893" customFormat="1" ht="15.75" customHeight="1" x14ac:dyDescent="0.2"/>
    <row r="894" customFormat="1" ht="15.75" customHeight="1" x14ac:dyDescent="0.2"/>
    <row r="895" customFormat="1" ht="15.75" customHeight="1" x14ac:dyDescent="0.2"/>
    <row r="896" customFormat="1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  <row r="992" customFormat="1" ht="15.75" customHeight="1" x14ac:dyDescent="0.2"/>
    <row r="993" customFormat="1" ht="15.75" customHeight="1" x14ac:dyDescent="0.2"/>
    <row r="994" customFormat="1" ht="15.75" customHeight="1" x14ac:dyDescent="0.2"/>
    <row r="995" customFormat="1" ht="15.75" customHeight="1" x14ac:dyDescent="0.2"/>
    <row r="996" customFormat="1" ht="15.75" customHeight="1" x14ac:dyDescent="0.2"/>
    <row r="997" customFormat="1" ht="15.75" customHeight="1" x14ac:dyDescent="0.2"/>
    <row r="998" customFormat="1" ht="15.75" customHeight="1" x14ac:dyDescent="0.2"/>
    <row r="999" customFormat="1" ht="15.75" customHeight="1" x14ac:dyDescent="0.2"/>
    <row r="1000" customFormat="1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Tharanendiran, Vasumati -</cp:lastModifiedBy>
  <dcterms:created xsi:type="dcterms:W3CDTF">2026-06-03T12:47:43Z</dcterms:created>
  <dcterms:modified xsi:type="dcterms:W3CDTF">2026-06-04T16:40:26Z</dcterms:modified>
</cp:coreProperties>
</file>