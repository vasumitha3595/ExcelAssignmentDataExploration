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umathi.t\Downloads\"/>
    </mc:Choice>
  </mc:AlternateContent>
  <xr:revisionPtr revIDLastSave="0" documentId="13_ncr:1_{08DDB6F1-6B9D-4142-8A14-65FEBA0E96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details" sheetId="2" r:id="rId1"/>
    <sheet name="category for lookup" sheetId="3" r:id="rId2"/>
    <sheet name="PRICE " sheetId="7" r:id="rId3"/>
    <sheet name="Pivot" sheetId="6" r:id="rId4"/>
    <sheet name="Dataset" sheetId="1" r:id="rId5"/>
  </sheets>
  <definedNames>
    <definedName name="ExternalData_1" localSheetId="0" hidden="1">Productdetails!$A$1:$P$33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odJfdMhecajOq6LlLlgHL1ilCo0qenb8UNpbolXvAE=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L10" i="2"/>
  <c r="H22" i="2"/>
  <c r="H23" i="2"/>
  <c r="H24" i="2"/>
  <c r="H25" i="2"/>
  <c r="H26" i="2"/>
  <c r="H27" i="2"/>
  <c r="H28" i="2"/>
  <c r="H29" i="2"/>
  <c r="H30" i="2"/>
  <c r="H31" i="2"/>
  <c r="H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B417C-E01B-4DAD-B14B-0EA8788C9A5D}" keepAlive="1" name="Query - Productdetails" description="Connection to the 'Productdetails' query in the workbook." type="5" refreshedVersion="8" background="1" saveData="1">
    <dbPr connection="Provider=Microsoft.Mashup.OleDb.1;Data Source=$Workbook$;Location=Productdetails;Extended Properties=&quot;&quot;" command="SELECT * FROM [Productdetails]"/>
  </connection>
</connections>
</file>

<file path=xl/sharedStrings.xml><?xml version="1.0" encoding="utf-8"?>
<sst xmlns="http://schemas.openxmlformats.org/spreadsheetml/2006/main" count="411" uniqueCount="180">
  <si>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</si>
  <si>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</si>
  <si>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</si>
  <si>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</si>
  <si>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</si>
  <si>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</si>
  <si>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</si>
  <si>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</si>
  <si>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</si>
  <si>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</si>
  <si>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</si>
  <si>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</si>
  <si>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</si>
  <si>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</si>
  <si>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</si>
  <si>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</si>
  <si>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</si>
  <si>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</si>
  <si>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</si>
  <si>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</si>
  <si>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</si>
  <si>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</si>
  <si>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</si>
  <si>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</si>
  <si>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</si>
  <si>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</si>
  <si>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</si>
  <si>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</si>
  <si>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</si>
  <si>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</si>
  <si>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</si>
  <si>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</si>
  <si>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</si>
  <si>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</si>
  <si>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</si>
  <si>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</si>
  <si>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</si>
  <si>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</si>
  <si>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</si>
  <si>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</si>
  <si>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</si>
  <si>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</si>
  <si>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</si>
  <si>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</si>
  <si>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</si>
  <si>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</si>
  <si>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</si>
  <si>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</si>
  <si>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</si>
  <si>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</si>
  <si>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</si>
  <si>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</si>
  <si>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</si>
  <si>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</si>
  <si>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</si>
  <si>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</si>
  <si>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</si>
  <si>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</si>
  <si>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</si>
  <si>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</si>
  <si>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</si>
  <si>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</si>
  <si>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</si>
  <si>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</si>
  <si>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</si>
  <si>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</si>
  <si>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</si>
  <si>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</si>
  <si>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</si>
  <si>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</si>
  <si>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</si>
  <si>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</si>
  <si>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</si>
  <si>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</si>
  <si>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</si>
  <si>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</si>
  <si>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</si>
  <si>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</si>
  <si>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</si>
  <si>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</si>
  <si>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</si>
  <si>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</si>
  <si>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</si>
  <si>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</si>
  <si>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</si>
  <si>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</si>
  <si>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</si>
  <si>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</si>
  <si>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</si>
  <si>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</si>
  <si>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</si>
  <si>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</si>
  <si>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</si>
  <si>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</si>
  <si>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</si>
  <si>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</si>
  <si>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</si>
  <si>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</si>
  <si>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</si>
  <si>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</si>
  <si>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Category Clean</t>
  </si>
  <si>
    <t>Brand Name - Copy</t>
  </si>
  <si>
    <t>Product Name - Copy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</si>
  <si>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</si>
  <si>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</si>
  <si>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</si>
  <si>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</si>
  <si>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</si>
  <si>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</si>
  <si>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</si>
  <si>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</si>
  <si>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</si>
  <si>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T-Shirt</t>
  </si>
  <si>
    <t>Blender Ninja</t>
  </si>
  <si>
    <t>Tablet Apple</t>
  </si>
  <si>
    <t>Hiking Boots Timberland</t>
  </si>
  <si>
    <t>IN</t>
  </si>
  <si>
    <t>Laptop Hp</t>
  </si>
  <si>
    <t>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</si>
  <si>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</si>
  <si>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</si>
  <si>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</si>
  <si>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</si>
  <si>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</si>
  <si>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</si>
  <si>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</si>
  <si>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</si>
  <si>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</si>
  <si>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</si>
  <si>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</si>
  <si>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</si>
  <si>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</si>
  <si>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</si>
  <si>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</si>
  <si>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</si>
  <si>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</si>
  <si>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</si>
  <si>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</si>
  <si>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</si>
  <si>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</si>
  <si>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</si>
  <si>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</si>
  <si>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</si>
  <si>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</si>
  <si>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</si>
  <si>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</si>
  <si>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Levi'S</t>
  </si>
  <si>
    <t>FR</t>
  </si>
  <si>
    <t>Watch Casio</t>
  </si>
  <si>
    <t>Column1</t>
  </si>
  <si>
    <t>Column12</t>
  </si>
  <si>
    <t>Column13</t>
  </si>
  <si>
    <t>Column14</t>
  </si>
  <si>
    <t>Category Old</t>
  </si>
  <si>
    <t xml:space="preserve">Laptop </t>
  </si>
  <si>
    <t>Coffee</t>
  </si>
  <si>
    <t>Smart</t>
  </si>
  <si>
    <t>Tshirt</t>
  </si>
  <si>
    <t>Hiking</t>
  </si>
  <si>
    <t>Sunglass</t>
  </si>
  <si>
    <t>Camping</t>
  </si>
  <si>
    <t>Micro</t>
  </si>
  <si>
    <t>Fitness</t>
  </si>
  <si>
    <t>Laptop bag</t>
  </si>
  <si>
    <t>Column3</t>
  </si>
  <si>
    <t>Row Labels</t>
  </si>
  <si>
    <t>Grand Total</t>
  </si>
  <si>
    <t>Count of Quantity</t>
  </si>
  <si>
    <t>Column4</t>
  </si>
  <si>
    <t>Formula</t>
  </si>
  <si>
    <t>Splitted the product ID into Manufacture date and Country Code</t>
  </si>
  <si>
    <t>Merge product name and brand Nmae to Product Brand</t>
  </si>
  <si>
    <t>PRICE- Currency symbol Added</t>
  </si>
  <si>
    <t>Conditional format - data bards and electronics</t>
  </si>
  <si>
    <t>(blank)</t>
  </si>
  <si>
    <t>Average of Price ($)</t>
  </si>
  <si>
    <t>Price</t>
  </si>
  <si>
    <t>Price clean</t>
  </si>
  <si>
    <t>Duplicate done in Power Query editor</t>
  </si>
  <si>
    <t>Product and category - Capitaliza each word and changed the Electroni to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</si>
</sst>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14009]dd/mm/yyyy;@"/>
    <numFmt numFmtId="166" formatCode="[$$-409]#,##0.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8"/>
      <name val="Arial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6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2"/>
      </font>
      <numFmt numFmtId="166" formatCode="[$$-409]#,##0.00"/>
      <alignment horizontal="center" vertical="center" textRotation="0" wrapText="0" indent="0" justifyLastLine="0" shrinkToFit="0" readingOrder="0"/>
    </dxf>
    <dxf>
      <numFmt numFmtId="166" formatCode="[$$-409]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umathi Tharanendiran" refreshedDate="46185.82229502315" createdVersion="8" refreshedVersion="8" minRefreshableVersion="3" recordCount="32" xr:uid="{92AA42F8-4589-4CA7-B9DA-DBA320941648}">
  <cacheSource type="worksheet">
    <worksheetSource name="Productdetails"/>
  </cacheSource>
  <cacheFields count="15">
    <cacheField name="Manufacturing Date" numFmtId="14">
      <sharedItems containsNonDate="0" containsDate="1" containsString="0" containsBlank="1" minDate="2026-01-09T00:00:00" maxDate="2026-12-09T00:00:00"/>
    </cacheField>
    <cacheField name="Country Code" numFmtId="0">
      <sharedItems containsBlank="1"/>
    </cacheField>
    <cacheField name="Product Brand" numFmtId="0">
      <sharedItems containsBlank="1"/>
    </cacheField>
    <cacheField name="Price ($)" numFmtId="164">
      <sharedItems containsString="0" containsBlank="1" containsNumber="1" containsInteger="1" minValue="30" maxValue="1000"/>
    </cacheField>
    <cacheField name="Price Clean" numFmtId="164">
      <sharedItems containsNonDate="0" containsString="0" containsBlank="1"/>
    </cacheField>
    <cacheField name="Quantity" numFmtId="0">
      <sharedItems containsString="0" containsBlank="1" containsNumber="1" containsInteger="1" minValue="5" maxValue="50"/>
    </cacheField>
    <cacheField name="Category Old" numFmtId="0">
      <sharedItems containsBlank="1"/>
    </cacheField>
    <cacheField name="Category Clean" numFmtId="0">
      <sharedItems containsBlank="1"/>
    </cacheField>
    <cacheField name="Column3" numFmtId="0">
      <sharedItems containsNonDate="0" containsString="0" containsBlank="1"/>
    </cacheField>
    <cacheField name="Column1" numFmtId="0">
      <sharedItems containsNonDate="0" containsString="0" containsBlank="1"/>
    </cacheField>
    <cacheField name="Column14" numFmtId="0">
      <sharedItems containsNonDate="0" containsString="0" containsBlank="1"/>
    </cacheField>
    <cacheField name="Column13" numFmtId="0">
      <sharedItems containsNonDate="0" containsString="0" containsBlank="1"/>
    </cacheField>
    <cacheField name="Column12" numFmtId="0">
      <sharedItems containsNonDate="0" containsString="0" containsBlank="1"/>
    </cacheField>
    <cacheField name="Brand Name - Copy" numFmtId="0">
      <sharedItems containsBlank="1"/>
    </cacheField>
    <cacheField name="Product Name - Copy" numFmtId="0">
      <sharedItems containsBlank="1" count="22">
        <s v="Laptop"/>
        <s v="Sneakers"/>
        <s v="Coffee Maker"/>
        <s v="Smartphone"/>
        <s v="Backpack"/>
        <s v="Headphones"/>
        <s v="T-Shirt"/>
        <s v="Blender"/>
        <s v="Tablet"/>
        <s v="Hiking Boots"/>
        <s v="Smartwatch"/>
        <s v="Laptop Bag"/>
        <s v="Sunglasses"/>
        <s v="Camping Tent"/>
        <s v="Camera"/>
        <s v="Microwave"/>
        <s v="Fitness Tracker"/>
        <s v="Dress"/>
        <s v="Toaster"/>
        <s v="Jeans"/>
        <s v="W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6-01-28T00:00:00"/>
    <s v="US"/>
    <s v="Laptop Dell"/>
    <n v="1000"/>
    <m/>
    <n v="30"/>
    <s v="Electronics"/>
    <s v="Electronics"/>
    <m/>
    <m/>
    <m/>
    <m/>
    <m/>
    <s v="Dell"/>
    <x v="0"/>
  </r>
  <r>
    <d v="2026-02-15T00:00:00"/>
    <s v="US"/>
    <s v="Sneakers Nike"/>
    <n v="80"/>
    <m/>
    <n v="15"/>
    <s v="Fashion"/>
    <s v="Fashion"/>
    <m/>
    <m/>
    <m/>
    <m/>
    <m/>
    <s v="Nike"/>
    <x v="1"/>
  </r>
  <r>
    <d v="2026-03-03T00:00:00"/>
    <s v="US"/>
    <s v="Coffee Maker Keurig"/>
    <n v="130"/>
    <m/>
    <n v="40"/>
    <s v="Kitchen"/>
    <s v="Kitchen"/>
    <m/>
    <m/>
    <m/>
    <m/>
    <m/>
    <s v="Keurig"/>
    <x v="2"/>
  </r>
  <r>
    <d v="2026-04-11T00:00:00"/>
    <s v="US"/>
    <s v="Smartphone Samsung"/>
    <n v="900"/>
    <m/>
    <n v="25"/>
    <s v="Electronics"/>
    <s v="Electronics"/>
    <m/>
    <m/>
    <m/>
    <m/>
    <m/>
    <s v="Samsung"/>
    <x v="3"/>
  </r>
  <r>
    <d v="2026-05-22T00:00:00"/>
    <s v="US"/>
    <s v="Backpack North Face"/>
    <n v="70"/>
    <m/>
    <n v="20"/>
    <m/>
    <s v="Outdoor"/>
    <m/>
    <m/>
    <m/>
    <m/>
    <m/>
    <s v="North Face"/>
    <x v="4"/>
  </r>
  <r>
    <d v="2026-06-07T00:00:00"/>
    <s v="UK"/>
    <s v="Headphones Sony"/>
    <m/>
    <m/>
    <n v="45"/>
    <s v="Electronics"/>
    <s v="Electronics"/>
    <m/>
    <m/>
    <m/>
    <m/>
    <m/>
    <s v="Sony"/>
    <x v="5"/>
  </r>
  <r>
    <d v="2026-07-19T00:00:00"/>
    <s v="UK"/>
    <s v="T-Shirt Adidas"/>
    <n v="30"/>
    <m/>
    <n v="5"/>
    <s v="Fashion"/>
    <s v="Fashion"/>
    <m/>
    <m/>
    <m/>
    <m/>
    <m/>
    <s v="Adidas"/>
    <x v="6"/>
  </r>
  <r>
    <d v="2026-08-23T00:00:00"/>
    <s v="UK"/>
    <s v="Blender Ninja"/>
    <n v="90"/>
    <m/>
    <n v="35"/>
    <s v="Kitchen"/>
    <s v="Kitchen"/>
    <m/>
    <m/>
    <m/>
    <m/>
    <m/>
    <s v="Ninja"/>
    <x v="7"/>
  </r>
  <r>
    <d v="2026-09-05T00:00:00"/>
    <s v="UK"/>
    <s v="Tablet Apple"/>
    <n v="500"/>
    <m/>
    <n v="50"/>
    <s v="Electronics"/>
    <s v="Electronics"/>
    <m/>
    <m/>
    <m/>
    <m/>
    <m/>
    <s v="Apple"/>
    <x v="8"/>
  </r>
  <r>
    <d v="2026-10-14T00:00:00"/>
    <s v="UK"/>
    <s v="Hiking Boots Timberland"/>
    <n v="130"/>
    <m/>
    <n v="10"/>
    <s v="Outdoor"/>
    <s v="Outdoor"/>
    <m/>
    <m/>
    <m/>
    <m/>
    <m/>
    <s v="Timberland"/>
    <x v="9"/>
  </r>
  <r>
    <d v="2026-06-17T00:00:00"/>
    <s v="IN"/>
    <s v="Laptop Hp"/>
    <n v="950"/>
    <m/>
    <n v="25"/>
    <s v="Electronics"/>
    <s v="Electronics"/>
    <m/>
    <m/>
    <m/>
    <m/>
    <m/>
    <s v="Hp"/>
    <x v="0"/>
  </r>
  <r>
    <d v="2026-11-25T00:00:00"/>
    <s v="AU"/>
    <s v="Sneakers Adidas"/>
    <n v="90"/>
    <m/>
    <n v="40"/>
    <m/>
    <s v="Fashion"/>
    <m/>
    <m/>
    <m/>
    <m/>
    <m/>
    <s v="Adidas"/>
    <x v="1"/>
  </r>
  <r>
    <d v="2026-12-08T00:00:00"/>
    <s v="DE"/>
    <s v="Coffee Maker Nespresso"/>
    <n v="120"/>
    <m/>
    <n v="35"/>
    <m/>
    <s v="Kitchen"/>
    <m/>
    <m/>
    <m/>
    <m/>
    <m/>
    <s v="Nespresso"/>
    <x v="2"/>
  </r>
  <r>
    <d v="2026-02-18T00:00:00"/>
    <s v="CA"/>
    <s v="Smartwatch Fitbit"/>
    <n v="150"/>
    <m/>
    <n v="15"/>
    <s v="Electronics"/>
    <s v="Electronics"/>
    <m/>
    <m/>
    <m/>
    <m/>
    <m/>
    <s v="Fitbit"/>
    <x v="10"/>
  </r>
  <r>
    <d v="2026-04-16T00:00:00"/>
    <s v="ES"/>
    <s v="Headphones Bose"/>
    <n v="250"/>
    <m/>
    <n v="20"/>
    <s v="Electronics"/>
    <s v="Electronics"/>
    <m/>
    <m/>
    <m/>
    <m/>
    <m/>
    <s v="Bose"/>
    <x v="5"/>
  </r>
  <r>
    <d v="2026-08-21T00:00:00"/>
    <s v="CA"/>
    <s v="Laptop Bag Samsonite"/>
    <n v="50"/>
    <m/>
    <n v="35"/>
    <s v="Accessories"/>
    <s v="Accessories"/>
    <m/>
    <m/>
    <m/>
    <m/>
    <m/>
    <s v="Samsonite"/>
    <x v="11"/>
  </r>
  <r>
    <d v="2026-08-20T00:00:00"/>
    <s v="CN"/>
    <s v="Smartwatch Huawei"/>
    <n v="160"/>
    <m/>
    <n v="15"/>
    <s v="Electronics"/>
    <s v="Electronics"/>
    <m/>
    <m/>
    <m/>
    <m/>
    <m/>
    <s v="Huawei"/>
    <x v="10"/>
  </r>
  <r>
    <d v="2026-01-27T00:00:00"/>
    <s v="IT"/>
    <s v="Laptop Asus"/>
    <n v="980"/>
    <m/>
    <n v="10"/>
    <s v="Electronics"/>
    <s v="Electronics"/>
    <m/>
    <m/>
    <m/>
    <m/>
    <m/>
    <s v="Asus"/>
    <x v="0"/>
  </r>
  <r>
    <d v="2026-03-01T00:00:00"/>
    <s v="UK"/>
    <s v="Sunglasses Oakley"/>
    <n v="150"/>
    <m/>
    <n v="15"/>
    <s v="Fashion"/>
    <s v="Fashion"/>
    <m/>
    <m/>
    <m/>
    <m/>
    <m/>
    <s v="Oakley"/>
    <x v="12"/>
  </r>
  <r>
    <d v="2026-08-14T00:00:00"/>
    <s v="US"/>
    <s v="Camping Tent Coleman"/>
    <m/>
    <m/>
    <n v="10"/>
    <s v="Outdoor"/>
    <s v="Outdoor"/>
    <m/>
    <m/>
    <m/>
    <m/>
    <m/>
    <s v="Coleman"/>
    <x v="13"/>
  </r>
  <r>
    <d v="2026-05-14T00:00:00"/>
    <s v="RU"/>
    <s v="Camera Nikon"/>
    <n v="700"/>
    <m/>
    <n v="50"/>
    <s v="Electronics"/>
    <s v="Electronics"/>
    <m/>
    <m/>
    <m/>
    <m/>
    <m/>
    <s v="Nikon"/>
    <x v="14"/>
  </r>
  <r>
    <d v="2026-01-09T00:00:00"/>
    <s v="CA"/>
    <s v="Microwave Panasonic"/>
    <n v="80"/>
    <m/>
    <n v="20"/>
    <s v="Kitchen"/>
    <s v="Kitchen"/>
    <m/>
    <m/>
    <m/>
    <m/>
    <m/>
    <s v="Panasonic"/>
    <x v="15"/>
  </r>
  <r>
    <d v="2026-07-19T00:00:00"/>
    <s v="BR"/>
    <s v="Fitness Tracker Xiaomi"/>
    <n v="150"/>
    <m/>
    <n v="30"/>
    <m/>
    <s v="Electronics"/>
    <m/>
    <m/>
    <m/>
    <m/>
    <m/>
    <s v="Xiaomi"/>
    <x v="16"/>
  </r>
  <r>
    <d v="2026-09-29T00:00:00"/>
    <s v="CA"/>
    <s v="Smartphone Google"/>
    <n v="800"/>
    <m/>
    <n v="45"/>
    <s v="Electronics"/>
    <s v="Electronics"/>
    <m/>
    <m/>
    <m/>
    <m/>
    <m/>
    <s v="Google"/>
    <x v="3"/>
  </r>
  <r>
    <d v="2026-06-03T00:00:00"/>
    <s v="CA"/>
    <s v="Sunglasses Ray-Ban"/>
    <m/>
    <m/>
    <n v="25"/>
    <s v="Fashion"/>
    <s v="Fashion"/>
    <m/>
    <m/>
    <m/>
    <m/>
    <m/>
    <s v="Ray-Ban"/>
    <x v="12"/>
  </r>
  <r>
    <d v="2026-07-11T00:00:00"/>
    <s v="CA"/>
    <s v="Blender Vitamix"/>
    <n v="400"/>
    <m/>
    <n v="40"/>
    <s v="Kitchen"/>
    <s v="Kitchen"/>
    <m/>
    <m/>
    <m/>
    <m/>
    <m/>
    <s v="Vitamix"/>
    <x v="7"/>
  </r>
  <r>
    <d v="2026-03-07T00:00:00"/>
    <s v="CA"/>
    <s v="Dress Zara"/>
    <n v="60"/>
    <m/>
    <n v="30"/>
    <s v="Fashion"/>
    <s v="Fashion"/>
    <m/>
    <m/>
    <m/>
    <m/>
    <m/>
    <s v="Zara"/>
    <x v="17"/>
  </r>
  <r>
    <d v="2026-04-13T00:00:00"/>
    <s v="CA"/>
    <s v="Toaster Hamilton"/>
    <n v="40"/>
    <m/>
    <n v="10"/>
    <s v="Kitchen"/>
    <s v="Kitchen"/>
    <m/>
    <m/>
    <m/>
    <m/>
    <m/>
    <s v="Hamilton"/>
    <x v="18"/>
  </r>
  <r>
    <d v="2026-05-24T00:00:00"/>
    <s v="CA"/>
    <s v="Fitness Tracker Garmin"/>
    <n v="130"/>
    <m/>
    <n v="5"/>
    <s v="Electronics"/>
    <s v="Electronics"/>
    <m/>
    <m/>
    <m/>
    <m/>
    <m/>
    <s v="Garmin"/>
    <x v="16"/>
  </r>
  <r>
    <d v="2026-12-02T00:00:00"/>
    <s v="CA"/>
    <s v="Jeans Levi'S"/>
    <n v="50"/>
    <m/>
    <n v="50"/>
    <s v="Fashion"/>
    <s v="Fashion"/>
    <m/>
    <m/>
    <m/>
    <m/>
    <m/>
    <s v="Levi'S"/>
    <x v="19"/>
  </r>
  <r>
    <d v="2026-07-09T00:00:00"/>
    <s v="FR"/>
    <s v="Watch Casio"/>
    <n v="100"/>
    <m/>
    <n v="20"/>
    <s v="Accessories"/>
    <s v="Accessories"/>
    <m/>
    <m/>
    <m/>
    <m/>
    <m/>
    <s v="Casio"/>
    <x v="20"/>
  </r>
  <r>
    <m/>
    <m/>
    <m/>
    <m/>
    <m/>
    <m/>
    <m/>
    <m/>
    <m/>
    <m/>
    <m/>
    <m/>
    <m/>
    <m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64E9E-768C-403B-9EA7-D994913EAC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15"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4"/>
        <item x="7"/>
        <item x="14"/>
        <item x="13"/>
        <item x="2"/>
        <item x="17"/>
        <item x="16"/>
        <item x="5"/>
        <item x="9"/>
        <item x="19"/>
        <item x="0"/>
        <item x="11"/>
        <item x="15"/>
        <item x="3"/>
        <item x="10"/>
        <item x="1"/>
        <item x="12"/>
        <item x="8"/>
        <item x="18"/>
        <item x="6"/>
        <item x="20"/>
        <item x="21"/>
        <item t="default"/>
      </items>
    </pivotField>
  </pivotFields>
  <rowFields count="1">
    <field x="1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 ($)" fld="3" subtotal="average" baseField="14" baseItem="1"/>
    <dataField name="Count of Quantity" fld="5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7D5B02-0354-4A8B-B08F-D0746DC620E2}" autoFormatId="16" applyNumberFormats="0" applyBorderFormats="0" applyFontFormats="0" applyPatternFormats="0" applyAlignmentFormats="0" applyWidthHeightFormats="0">
  <queryTableRefresh nextId="20">
    <queryTableFields count="1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19" dataBound="0" tableColumnId="19"/>
      <queryTableField id="5" name="Quantity" tableColumnId="5"/>
      <queryTableField id="15" dataBound="0" tableColumnId="15"/>
      <queryTableField id="7" name="Category Clean" tableColumnId="7"/>
      <queryTableField id="11" dataBound="0" tableColumnId="11"/>
      <queryTableField id="18" dataBound="0" tableColumnId="18"/>
      <queryTableField id="10" dataBound="0" tableColumnId="10"/>
      <queryTableField id="14" dataBound="0" tableColumnId="14"/>
      <queryTableField id="13" dataBound="0" tableColumnId="13"/>
      <queryTableField id="12" dataBound="0" tableColumnId="12"/>
      <queryTableField id="8" name="Brand Name - Copy" tableColumnId="8"/>
      <queryTableField id="9" name="Product Name - Copy" tableColumnId="9"/>
    </queryTableFields>
    <queryTableDeletedFields count="1">
      <deletedField name="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DB68D-160A-4D03-BC01-21DA09BCE551}" name="Productdetails" displayName="Productdetails" ref="A1:P33" tableType="queryTable" totalsRowShown="0" headerRowDxfId="32" dataDxfId="31">
  <autoFilter ref="A1:P33" xr:uid="{985DB68D-160A-4D03-BC01-21DA09BCE551}"/>
  <tableColumns count="16">
    <tableColumn id="1" xr3:uid="{AE4CCD05-75C0-4E98-B90C-526864ECB1E4}" uniqueName="1" name="Manufacturing Date" queryTableFieldId="1" dataDxfId="30"/>
    <tableColumn id="2" xr3:uid="{D8558BC4-4910-493C-BF9F-8866C849DD5A}" uniqueName="2" name="Country Code" queryTableFieldId="2" dataDxfId="29"/>
    <tableColumn id="3" xr3:uid="{2E0E872B-A105-43ED-87DC-8E07DDDD8EA4}" uniqueName="3" name="Product Brand" queryTableFieldId="3" dataDxfId="28"/>
    <tableColumn id="4" xr3:uid="{8A185ACF-8240-480F-A20A-378BEB8E9F57}" uniqueName="4" name="Price ($)" queryTableFieldId="4" dataDxfId="27"/>
    <tableColumn id="19" xr3:uid="{FE3F4A4F-93EA-406C-A958-3ACCCAFA0319}" uniqueName="19" name="Price clean" queryTableFieldId="19" dataDxfId="26">
      <calculatedColumnFormula>IF(ISBLANK(Productdetails[[#This Row],[Price ($)]]),VLOOKUP(Productdetails[[#This Row],[Product Name - Copy]],Table4[],2,TRUE),Productdetails[Price ($)])</calculatedColumnFormula>
    </tableColumn>
    <tableColumn id="5" xr3:uid="{D94C9C5A-6F4D-4634-88F4-18BC3632DEB2}" uniqueName="5" name="Quantity" queryTableFieldId="5" dataDxfId="25"/>
    <tableColumn id="15" xr3:uid="{D7D831D3-C525-420D-A1B2-18535BB7A918}" uniqueName="15" name="Category Old" queryTableFieldId="15" dataDxfId="24"/>
    <tableColumn id="7" xr3:uid="{D3A3EF77-B2BA-4B8E-8695-73D8E5ABBD5C}" uniqueName="7" name="Category Clean" queryTableFieldId="7" dataDxfId="23"/>
    <tableColumn id="11" xr3:uid="{5A666EAB-8924-44F1-8A64-2FBC7379788A}" uniqueName="11" name="Column3" queryTableFieldId="11" dataDxfId="22"/>
    <tableColumn id="18" xr3:uid="{23911B15-6F45-46D7-A723-B9A801763329}" uniqueName="18" name="Column4" queryTableFieldId="18" dataDxfId="21"/>
    <tableColumn id="10" xr3:uid="{765885D6-60D2-4DD9-ABF2-A1B8755D8B1A}" uniqueName="10" name="Column1" queryTableFieldId="10" dataDxfId="20"/>
    <tableColumn id="14" xr3:uid="{453292BC-16AC-4754-A72E-D2429E6115C3}" uniqueName="14" name="Column14" queryTableFieldId="14" dataDxfId="19"/>
    <tableColumn id="13" xr3:uid="{0A8FB21A-991D-4136-AB60-1DD881442BF8}" uniqueName="13" name="Column13" queryTableFieldId="13" dataDxfId="18"/>
    <tableColumn id="12" xr3:uid="{C6E7E356-0BB4-42E7-B4CC-9AC88D4EC06E}" uniqueName="12" name="Column12" queryTableFieldId="12" dataDxfId="17"/>
    <tableColumn id="8" xr3:uid="{BD2970C0-799F-476D-9950-5D2A19988402}" uniqueName="8" name="Brand Name - Copy" queryTableFieldId="8" dataDxfId="16"/>
    <tableColumn id="9" xr3:uid="{76C9673D-F707-4827-A058-3CAF0F4814F9}" uniqueName="9" name="Product Name - Copy" queryTableFieldId="9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43E0B6-9F93-4FC0-B019-AA54E82DB16E}" name="Categories" displayName="Categories" ref="C4:D28" totalsRowShown="0" headerRowDxfId="14" dataDxfId="13">
  <tableColumns count="2">
    <tableColumn id="1" xr3:uid="{4E9AC2F2-408A-4BD6-A008-1D7C96D54F14}" name="Product Name" dataDxfId="12"/>
    <tableColumn id="2" xr3:uid="{F8B921E2-FE99-4B2F-ABBA-D3984859A522}" name="Category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907B35-5094-4FC4-94D7-675F9A16F4FD}" name="Table4" displayName="Table4" ref="A1:B22" totalsRowShown="0">
  <autoFilter ref="A1:B22" xr:uid="{B5907B35-5094-4FC4-94D7-675F9A16F4FD}"/>
  <tableColumns count="2">
    <tableColumn id="1" xr3:uid="{8DC1AF7A-03B7-4005-80AA-B93015C9BAAB}" name="Product Name"/>
    <tableColumn id="2" xr3:uid="{A64FD16F-F7C1-4A56-B005-5EDA5C7E9EC5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5AE49-9BCA-428F-9B40-F24EBFA9A22A}" name="Table1" displayName="Table1" ref="A1:F35" totalsRowShown="0" headerRowDxfId="10" dataDxfId="9">
  <autoFilter ref="A1:F35" xr:uid="{1625AE49-9BCA-428F-9B40-F24EBFA9A22A}"/>
  <tableColumns count="6">
    <tableColumn id="1" xr3:uid="{A4BA61E5-A7F5-4CBF-80A2-0A2363E400C7}" name="Product ID" dataDxfId="8"/>
    <tableColumn id="2" xr3:uid="{A687FE52-068E-4915-B079-F76D1877AA6F}" name="Product Name" dataDxfId="7"/>
    <tableColumn id="3" xr3:uid="{88C5C3FB-C040-44AC-BA5D-BC2B23F4283D}" name="Brand Name" dataDxfId="6"/>
    <tableColumn id="4" xr3:uid="{87BCBDDA-D789-4CA1-9C6D-B902D9F3A302}" name="Price ($)" dataDxfId="5"/>
    <tableColumn id="5" xr3:uid="{1A0B10B7-17DA-4D0A-8C0A-AD9B2C93A923}" name="Quantity" dataDxfId="4"/>
    <tableColumn id="6" xr3:uid="{845EC9C2-5EE3-408D-A132-0CBF9B3E67BF}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B30A-DF38-4CE3-B198-11A7CF870517}">
  <dimension ref="A1:P33"/>
  <sheetViews>
    <sheetView tabSelected="1" workbookViewId="0">
      <selection activeCell="E16" sqref="E16"/>
    </sheetView>
  </sheetViews>
  <sheetFormatPr defaultRowHeight="12.75" x14ac:dyDescent="0.2"/>
  <cols>
    <col min="1" max="1" width="19" style="13" bestFit="1" customWidth="1"/>
    <col min="2" max="2" width="13.42578125" style="7" bestFit="1" customWidth="1"/>
    <col min="3" max="3" width="22.28515625" style="7" customWidth="1"/>
    <col min="4" max="4" width="12.140625" style="7" customWidth="1"/>
    <col min="5" max="5" width="17.85546875" style="19" customWidth="1"/>
    <col min="6" max="6" width="8.5703125" style="7" bestFit="1" customWidth="1"/>
    <col min="7" max="7" width="17.140625" style="7" customWidth="1"/>
    <col min="8" max="8" width="25.140625" style="15" customWidth="1"/>
    <col min="9" max="9" width="9" style="8" bestFit="1" customWidth="1"/>
    <col min="10" max="10" width="9" style="8" customWidth="1"/>
    <col min="11" max="11" width="6.85546875" style="8" customWidth="1"/>
    <col min="12" max="12" width="98.42578125" style="8" customWidth="1"/>
    <col min="13" max="13" width="22.7109375" style="8" customWidth="1"/>
    <col min="14" max="14" width="9" style="8" customWidth="1"/>
    <col min="15" max="15" width="18.85546875" style="7" bestFit="1" customWidth="1"/>
    <col min="16" max="16" width="20.42578125" style="7" bestFit="1" customWidth="1"/>
    <col min="17" max="17" width="17.140625" style="7" customWidth="1"/>
    <col min="18" max="16384" width="9.140625" style="7"/>
  </cols>
  <sheetData>
    <row r="1" spans="1:16" x14ac:dyDescent="0.2">
      <c r="A1" s="13" t="s">
        <v>97</v>
      </c>
      <c r="B1" s="7" t="s">
        <v>98</v>
      </c>
      <c r="C1" s="7" t="s">
        <v>99</v>
      </c>
      <c r="D1" s="17" t="s">
        <v>3</v>
      </c>
      <c r="E1" s="18" t="s">
        <v>177</v>
      </c>
      <c r="F1" s="7" t="s">
        <v>4</v>
      </c>
      <c r="G1" s="7" t="s">
        <v>153</v>
      </c>
      <c r="H1" s="15" t="s">
        <v>100</v>
      </c>
      <c r="I1" s="10" t="s">
        <v>164</v>
      </c>
      <c r="J1" s="10" t="s">
        <v>168</v>
      </c>
      <c r="K1" s="8" t="s">
        <v>149</v>
      </c>
      <c r="L1" s="8" t="s">
        <v>152</v>
      </c>
      <c r="M1" s="8" t="s">
        <v>151</v>
      </c>
      <c r="N1" s="8" t="s">
        <v>150</v>
      </c>
      <c r="O1" s="7" t="s">
        <v>101</v>
      </c>
      <c r="P1" s="7" t="s">
        <v>102</v>
      </c>
    </row>
    <row r="2" spans="1:16" x14ac:dyDescent="0.2">
      <c r="A2" s="13">
        <v>46050</v>
      </c>
      <c r="B2" s="7" t="s">
        <v>103</v>
      </c>
      <c r="C2" s="7" t="s">
        <v>104</v>
      </c>
      <c r="D2" s="17">
        <v>1000</v>
      </c>
      <c r="E2" s="19">
        <f>IF(ISBLANK(Productdetails[[#This Row],[Price ($)]]),VLOOKUP(Productdetails[[#This Row],[Product Name - Copy]],Table4[],2,TRUE),Productdetails[Price ($)])</f>
        <v>1000</v>
      </c>
      <c r="F2" s="7">
        <v>30</v>
      </c>
      <c r="G2" s="7" t="s">
        <v>9</v>
      </c>
      <c r="H2" s="16" t="str">
        <f>IF(ISBLANK(Productdetails[[#This Row],[Category Old]]),VLOOKUP(Productdetails[[#This Row],[Product Name - Copy]],Categories[],2,FALSE),Productdetails[[#This Row],[Category Old]])</f>
        <v>Electronics</v>
      </c>
      <c r="O2" s="7" t="s">
        <v>8</v>
      </c>
      <c r="P2" s="7" t="s">
        <v>42</v>
      </c>
    </row>
    <row r="3" spans="1:16" x14ac:dyDescent="0.2">
      <c r="A3" s="13">
        <v>46068</v>
      </c>
      <c r="B3" s="7" t="s">
        <v>103</v>
      </c>
      <c r="C3" s="7" t="s">
        <v>105</v>
      </c>
      <c r="D3" s="17">
        <v>80</v>
      </c>
      <c r="E3" s="19">
        <f>IF(ISBLANK(Productdetails[[#This Row],[Price ($)]]),VLOOKUP(Productdetails[[#This Row],[Product Name - Copy]],Table4[],2,TRUE),Productdetails[Price ($)])</f>
        <v>80</v>
      </c>
      <c r="F3" s="7">
        <v>15</v>
      </c>
      <c r="G3" s="7" t="s">
        <v>13</v>
      </c>
      <c r="H3" s="16" t="str">
        <f>IF(ISBLANK(Productdetails[[#This Row],[Category Old]]),VLOOKUP(Productdetails[[#This Row],[Product Name - Copy]],Categories[],2,FALSE),Productdetails[[#This Row],[Category Old]])</f>
        <v>Fashion</v>
      </c>
      <c r="O3" s="7" t="s">
        <v>12</v>
      </c>
      <c r="P3" s="7" t="s">
        <v>11</v>
      </c>
    </row>
    <row r="4" spans="1:16" x14ac:dyDescent="0.2">
      <c r="A4" s="13">
        <v>46084</v>
      </c>
      <c r="B4" s="7" t="s">
        <v>103</v>
      </c>
      <c r="C4" s="7" t="s">
        <v>106</v>
      </c>
      <c r="D4" s="17">
        <v>130</v>
      </c>
      <c r="E4" s="19">
        <f>IF(ISBLANK(Productdetails[[#This Row],[Price ($)]]),VLOOKUP(Productdetails[[#This Row],[Product Name - Copy]],Table4[],2,TRUE),Productdetails[Price ($)])</f>
        <v>130</v>
      </c>
      <c r="F4" s="7">
        <v>40</v>
      </c>
      <c r="G4" s="7" t="s">
        <v>17</v>
      </c>
      <c r="H4" s="16" t="str">
        <f>IF(ISBLANK(Productdetails[[#This Row],[Category Old]]),VLOOKUP(Productdetails[[#This Row],[Product Name - Copy]],Categories[],2,FALSE),Productdetails[[#This Row],[Category Old]])</f>
        <v>Kitchen</v>
      </c>
      <c r="O4" s="7" t="s">
        <v>16</v>
      </c>
      <c r="P4" s="7" t="s">
        <v>15</v>
      </c>
    </row>
    <row r="5" spans="1:16" x14ac:dyDescent="0.2">
      <c r="A5" s="13">
        <v>46123</v>
      </c>
      <c r="B5" s="7" t="s">
        <v>103</v>
      </c>
      <c r="C5" s="7" t="s">
        <v>107</v>
      </c>
      <c r="D5" s="17">
        <v>900</v>
      </c>
      <c r="E5" s="19">
        <f>IF(ISBLANK(Productdetails[[#This Row],[Price ($)]]),VLOOKUP(Productdetails[[#This Row],[Product Name - Copy]],Table4[],2,TRUE),Productdetails[Price ($)])</f>
        <v>900</v>
      </c>
      <c r="F5" s="7">
        <v>25</v>
      </c>
      <c r="G5" s="7" t="s">
        <v>9</v>
      </c>
      <c r="H5" s="16" t="str">
        <f>IF(ISBLANK(Productdetails[[#This Row],[Category Old]]),VLOOKUP(Productdetails[[#This Row],[Product Name - Copy]],Categories[],2,FALSE),Productdetails[[#This Row],[Category Old]])</f>
        <v>Electronics</v>
      </c>
      <c r="O5" s="7" t="s">
        <v>20</v>
      </c>
      <c r="P5" s="7" t="s">
        <v>77</v>
      </c>
    </row>
    <row r="6" spans="1:16" x14ac:dyDescent="0.2">
      <c r="A6" s="13">
        <v>46164</v>
      </c>
      <c r="B6" s="7" t="s">
        <v>103</v>
      </c>
      <c r="C6" s="7" t="s">
        <v>108</v>
      </c>
      <c r="D6" s="17">
        <v>70</v>
      </c>
      <c r="E6" s="19">
        <f>IF(ISBLANK(Productdetails[[#This Row],[Price ($)]]),VLOOKUP(Productdetails[[#This Row],[Product Name - Copy]],Table4[],2,TRUE),Productdetails[Price ($)])</f>
        <v>70</v>
      </c>
      <c r="F6" s="7">
        <v>20</v>
      </c>
      <c r="H6" s="16" t="str">
        <f>IF(ISBLANK(Productdetails[[#This Row],[Category Old]]),VLOOKUP(Productdetails[[#This Row],[Product Name - Copy]],Categories[],2,FALSE),Productdetails[[#This Row],[Category Old]])</f>
        <v>Outdoor</v>
      </c>
      <c r="I6" s="10"/>
      <c r="J6" s="10"/>
      <c r="K6"/>
      <c r="O6" s="7" t="s">
        <v>23</v>
      </c>
      <c r="P6" s="7" t="s">
        <v>22</v>
      </c>
    </row>
    <row r="7" spans="1:16" x14ac:dyDescent="0.2">
      <c r="A7" s="13">
        <v>46180</v>
      </c>
      <c r="B7" s="7" t="s">
        <v>109</v>
      </c>
      <c r="C7" s="7" t="s">
        <v>110</v>
      </c>
      <c r="D7" s="17"/>
      <c r="E7" s="19">
        <f>IF(ISBLANK(Productdetails[[#This Row],[Price ($)]]),VLOOKUP(Productdetails[[#This Row],[Product Name - Copy]],Table4[],2,TRUE),Productdetails[Price ($)])</f>
        <v>250</v>
      </c>
      <c r="F7" s="7">
        <v>45</v>
      </c>
      <c r="G7" s="7" t="s">
        <v>9</v>
      </c>
      <c r="H7" s="16" t="str">
        <f>IF(ISBLANK(Productdetails[[#This Row],[Category Old]]),VLOOKUP(Productdetails[[#This Row],[Product Name - Copy]],Categories[],2,FALSE),Productdetails[[#This Row],[Category Old]])</f>
        <v>Electronics</v>
      </c>
      <c r="O7" s="7" t="s">
        <v>26</v>
      </c>
      <c r="P7" s="7" t="s">
        <v>25</v>
      </c>
    </row>
    <row r="8" spans="1:16" x14ac:dyDescent="0.2">
      <c r="A8" s="13">
        <v>46222</v>
      </c>
      <c r="B8" s="7" t="s">
        <v>109</v>
      </c>
      <c r="C8" s="7" t="s">
        <v>111</v>
      </c>
      <c r="D8" s="17">
        <v>30</v>
      </c>
      <c r="E8" s="19">
        <f>IF(ISBLANK(Productdetails[[#This Row],[Price ($)]]),VLOOKUP(Productdetails[[#This Row],[Product Name - Copy]],Table4[],2,TRUE),Productdetails[Price ($)])</f>
        <v>30</v>
      </c>
      <c r="F8" s="7">
        <v>5</v>
      </c>
      <c r="G8" s="7" t="s">
        <v>13</v>
      </c>
      <c r="H8" s="16" t="str">
        <f>IF(ISBLANK(Productdetails[[#This Row],[Category Old]]),VLOOKUP(Productdetails[[#This Row],[Product Name - Copy]],Categories[],2,FALSE),Productdetails[[#This Row],[Category Old]])</f>
        <v>Fashion</v>
      </c>
      <c r="L8" s="14" t="s">
        <v>169</v>
      </c>
      <c r="O8" s="7" t="s">
        <v>30</v>
      </c>
      <c r="P8" s="7" t="s">
        <v>112</v>
      </c>
    </row>
    <row r="9" spans="1:16" x14ac:dyDescent="0.2">
      <c r="A9" s="13">
        <v>46257</v>
      </c>
      <c r="B9" s="7" t="s">
        <v>109</v>
      </c>
      <c r="C9" s="7" t="s">
        <v>113</v>
      </c>
      <c r="D9" s="17">
        <v>90</v>
      </c>
      <c r="E9" s="19">
        <f>IF(ISBLANK(Productdetails[[#This Row],[Price ($)]]),VLOOKUP(Productdetails[[#This Row],[Product Name - Copy]],Table4[],2,TRUE),Productdetails[Price ($)])</f>
        <v>90</v>
      </c>
      <c r="F9" s="7">
        <v>35</v>
      </c>
      <c r="G9" s="7" t="s">
        <v>17</v>
      </c>
      <c r="H9" s="16" t="str">
        <f>IF(ISBLANK(Productdetails[[#This Row],[Category Old]]),VLOOKUP(Productdetails[[#This Row],[Product Name - Copy]],Categories[],2,FALSE),Productdetails[[#This Row],[Category Old]])</f>
        <v>Kitchen</v>
      </c>
      <c r="L9" s="14"/>
      <c r="O9" s="7" t="s">
        <v>33</v>
      </c>
      <c r="P9" s="7" t="s">
        <v>32</v>
      </c>
    </row>
    <row r="10" spans="1:16" x14ac:dyDescent="0.2">
      <c r="A10" s="13">
        <v>46270</v>
      </c>
      <c r="B10" s="7" t="s">
        <v>109</v>
      </c>
      <c r="C10" s="7" t="s">
        <v>114</v>
      </c>
      <c r="D10" s="17">
        <v>500</v>
      </c>
      <c r="E10" s="19">
        <f>IF(ISBLANK(Productdetails[[#This Row],[Price ($)]]),VLOOKUP(Productdetails[[#This Row],[Product Name - Copy]],Table4[],2,TRUE),Productdetails[Price ($)])</f>
        <v>500</v>
      </c>
      <c r="F10" s="7">
        <v>50</v>
      </c>
      <c r="G10" s="7" t="s">
        <v>9</v>
      </c>
      <c r="H10" s="16" t="str">
        <f>IF(ISBLANK(Productdetails[[#This Row],[Category Old]]),VLOOKUP(Productdetails[[#This Row],[Product Name - Copy]],Categories[],2,FALSE),Productdetails[[#This Row],[Category Old]])</f>
        <v>Electronics</v>
      </c>
      <c r="L10" s="14" t="str">
        <f ca="1">_xlfn.FORMULATEXT(H3)</f>
        <v>=IF(ISBLANK([@[Category Old]]),VLOOKUP([@[Product Name - Copy]],Categories,2,FALSE),[@[Category Old]])</v>
      </c>
      <c r="O10" s="7" t="s">
        <v>36</v>
      </c>
      <c r="P10" s="7" t="s">
        <v>35</v>
      </c>
    </row>
    <row r="11" spans="1:16" x14ac:dyDescent="0.2">
      <c r="A11" s="13">
        <v>46309</v>
      </c>
      <c r="B11" s="7" t="s">
        <v>109</v>
      </c>
      <c r="C11" s="7" t="s">
        <v>115</v>
      </c>
      <c r="D11" s="17">
        <v>130</v>
      </c>
      <c r="E11" s="19">
        <f>IF(ISBLANK(Productdetails[[#This Row],[Price ($)]]),VLOOKUP(Productdetails[[#This Row],[Product Name - Copy]],Table4[],2,TRUE),Productdetails[Price ($)])</f>
        <v>130</v>
      </c>
      <c r="F11" s="7">
        <v>10</v>
      </c>
      <c r="G11" s="7" t="s">
        <v>40</v>
      </c>
      <c r="H11" s="16" t="str">
        <f>IF(ISBLANK(Productdetails[[#This Row],[Category Old]]),VLOOKUP(Productdetails[[#This Row],[Product Name - Copy]],Categories[],2,FALSE),Productdetails[[#This Row],[Category Old]])</f>
        <v>Outdoor</v>
      </c>
      <c r="L11" s="14" t="s">
        <v>178</v>
      </c>
      <c r="O11" s="7" t="s">
        <v>39</v>
      </c>
      <c r="P11" s="7" t="s">
        <v>38</v>
      </c>
    </row>
    <row r="12" spans="1:16" x14ac:dyDescent="0.2">
      <c r="A12" s="13">
        <v>46190</v>
      </c>
      <c r="B12" s="7" t="s">
        <v>116</v>
      </c>
      <c r="C12" s="7" t="s">
        <v>117</v>
      </c>
      <c r="D12" s="17">
        <v>950</v>
      </c>
      <c r="E12" s="19">
        <f>IF(ISBLANK(Productdetails[[#This Row],[Price ($)]]),VLOOKUP(Productdetails[[#This Row],[Product Name - Copy]],Table4[],2,TRUE),Productdetails[Price ($)])</f>
        <v>950</v>
      </c>
      <c r="F12" s="7">
        <v>25</v>
      </c>
      <c r="G12" s="7" t="s">
        <v>9</v>
      </c>
      <c r="H12" s="16" t="str">
        <f>IF(ISBLANK(Productdetails[[#This Row],[Category Old]]),VLOOKUP(Productdetails[[#This Row],[Product Name - Copy]],Categories[],2,FALSE),Productdetails[[#This Row],[Category Old]])</f>
        <v>Electronics</v>
      </c>
      <c r="L12" s="14" t="s">
        <v>179</v>
      </c>
      <c r="O12" s="7" t="s">
        <v>118</v>
      </c>
      <c r="P12" s="7" t="s">
        <v>42</v>
      </c>
    </row>
    <row r="13" spans="1:16" x14ac:dyDescent="0.2">
      <c r="A13" s="13">
        <v>46351</v>
      </c>
      <c r="B13" s="7" t="s">
        <v>119</v>
      </c>
      <c r="C13" s="7" t="s">
        <v>120</v>
      </c>
      <c r="D13" s="17">
        <v>90</v>
      </c>
      <c r="E13" s="19">
        <f>IF(ISBLANK(Productdetails[[#This Row],[Price ($)]]),VLOOKUP(Productdetails[[#This Row],[Product Name - Copy]],Table4[],2,TRUE),Productdetails[Price ($)])</f>
        <v>90</v>
      </c>
      <c r="F13" s="7">
        <v>40</v>
      </c>
      <c r="H13" s="16" t="str">
        <f>IF(ISBLANK(Productdetails[[#This Row],[Category Old]]),VLOOKUP(Productdetails[[#This Row],[Product Name - Copy]],Categories[],2,FALSE),Productdetails[[#This Row],[Category Old]])</f>
        <v>Fashion</v>
      </c>
      <c r="L13" s="14"/>
      <c r="O13" s="7" t="s">
        <v>30</v>
      </c>
      <c r="P13" s="7" t="s">
        <v>11</v>
      </c>
    </row>
    <row r="14" spans="1:16" x14ac:dyDescent="0.2">
      <c r="A14" s="13">
        <v>46364</v>
      </c>
      <c r="B14" s="7" t="s">
        <v>121</v>
      </c>
      <c r="C14" s="7" t="s">
        <v>122</v>
      </c>
      <c r="D14" s="17">
        <v>120</v>
      </c>
      <c r="E14" s="19">
        <f>IF(ISBLANK(Productdetails[[#This Row],[Price ($)]]),VLOOKUP(Productdetails[[#This Row],[Product Name - Copy]],Table4[],2,TRUE),Productdetails[Price ($)])</f>
        <v>120</v>
      </c>
      <c r="F14" s="7">
        <v>35</v>
      </c>
      <c r="H14" s="16" t="str">
        <f>IF(ISBLANK(Productdetails[[#This Row],[Category Old]]),VLOOKUP(Productdetails[[#This Row],[Product Name - Copy]],Categories[],2,FALSE),Productdetails[[#This Row],[Category Old]])</f>
        <v>Kitchen</v>
      </c>
      <c r="L14" s="14" t="s">
        <v>170</v>
      </c>
      <c r="O14" s="7" t="s">
        <v>46</v>
      </c>
      <c r="P14" s="7" t="s">
        <v>15</v>
      </c>
    </row>
    <row r="15" spans="1:16" x14ac:dyDescent="0.2">
      <c r="A15" s="13">
        <v>46071</v>
      </c>
      <c r="B15" s="7" t="s">
        <v>123</v>
      </c>
      <c r="C15" s="7" t="s">
        <v>124</v>
      </c>
      <c r="D15" s="17">
        <v>150</v>
      </c>
      <c r="E15" s="19">
        <f>IF(ISBLANK(Productdetails[[#This Row],[Price ($)]]),VLOOKUP(Productdetails[[#This Row],[Product Name - Copy]],Table4[],2,TRUE),Productdetails[Price ($)])</f>
        <v>150</v>
      </c>
      <c r="F15" s="7">
        <v>15</v>
      </c>
      <c r="G15" s="7" t="s">
        <v>9</v>
      </c>
      <c r="H15" s="16" t="str">
        <f>IF(ISBLANK(Productdetails[[#This Row],[Category Old]]),VLOOKUP(Productdetails[[#This Row],[Product Name - Copy]],Categories[],2,FALSE),Productdetails[[#This Row],[Category Old]])</f>
        <v>Electronics</v>
      </c>
      <c r="L15" s="14" t="s">
        <v>171</v>
      </c>
      <c r="O15" s="7" t="s">
        <v>49</v>
      </c>
      <c r="P15" s="7" t="s">
        <v>48</v>
      </c>
    </row>
    <row r="16" spans="1:16" x14ac:dyDescent="0.2">
      <c r="A16" s="13">
        <v>46128</v>
      </c>
      <c r="B16" s="7" t="s">
        <v>125</v>
      </c>
      <c r="C16" s="7" t="s">
        <v>126</v>
      </c>
      <c r="D16" s="17">
        <v>250</v>
      </c>
      <c r="E16" s="19">
        <f>IF(ISBLANK(Productdetails[[#This Row],[Price ($)]]),VLOOKUP(Productdetails[[#This Row],[Product Name - Copy]],Table4[],2,TRUE),Productdetails[Price ($)])</f>
        <v>250</v>
      </c>
      <c r="F16" s="7">
        <v>20</v>
      </c>
      <c r="G16" s="7" t="s">
        <v>9</v>
      </c>
      <c r="H16" s="16" t="str">
        <f>IF(ISBLANK(Productdetails[[#This Row],[Category Old]]),VLOOKUP(Productdetails[[#This Row],[Product Name - Copy]],Categories[],2,FALSE),Productdetails[[#This Row],[Category Old]])</f>
        <v>Electronics</v>
      </c>
      <c r="L16" s="14" t="s">
        <v>172</v>
      </c>
      <c r="O16" s="7" t="s">
        <v>52</v>
      </c>
      <c r="P16" s="7" t="s">
        <v>25</v>
      </c>
    </row>
    <row r="17" spans="1:16" x14ac:dyDescent="0.2">
      <c r="A17" s="13">
        <v>46255</v>
      </c>
      <c r="B17" s="7" t="s">
        <v>123</v>
      </c>
      <c r="C17" s="7" t="s">
        <v>127</v>
      </c>
      <c r="D17" s="17">
        <v>50</v>
      </c>
      <c r="E17" s="19">
        <f>IF(ISBLANK(Productdetails[[#This Row],[Price ($)]]),VLOOKUP(Productdetails[[#This Row],[Product Name - Copy]],Table4[],2,TRUE),Productdetails[Price ($)])</f>
        <v>50</v>
      </c>
      <c r="F17" s="7">
        <v>35</v>
      </c>
      <c r="G17" s="7" t="s">
        <v>56</v>
      </c>
      <c r="H17" s="16" t="str">
        <f>IF(ISBLANK(Productdetails[[#This Row],[Category Old]]),VLOOKUP(Productdetails[[#This Row],[Product Name - Copy]],Categories[],2,FALSE),Productdetails[[#This Row],[Category Old]])</f>
        <v>Accessories</v>
      </c>
      <c r="L17" s="14" t="s">
        <v>173</v>
      </c>
      <c r="O17" s="7" t="s">
        <v>55</v>
      </c>
      <c r="P17" s="7" t="s">
        <v>54</v>
      </c>
    </row>
    <row r="18" spans="1:16" x14ac:dyDescent="0.2">
      <c r="A18" s="13">
        <v>46254</v>
      </c>
      <c r="B18" s="7" t="s">
        <v>128</v>
      </c>
      <c r="C18" s="7" t="s">
        <v>129</v>
      </c>
      <c r="D18" s="17">
        <v>160</v>
      </c>
      <c r="E18" s="19">
        <f>IF(ISBLANK(Productdetails[[#This Row],[Price ($)]]),VLOOKUP(Productdetails[[#This Row],[Product Name - Copy]],Table4[],2,TRUE),Productdetails[Price ($)])</f>
        <v>160</v>
      </c>
      <c r="F18" s="7">
        <v>15</v>
      </c>
      <c r="G18" s="7" t="s">
        <v>9</v>
      </c>
      <c r="H18" s="16" t="str">
        <f>IF(ISBLANK(Productdetails[[#This Row],[Category Old]]),VLOOKUP(Productdetails[[#This Row],[Product Name - Copy]],Categories[],2,FALSE),Productdetails[[#This Row],[Category Old]])</f>
        <v>Electronics</v>
      </c>
      <c r="O18" s="7" t="s">
        <v>58</v>
      </c>
      <c r="P18" s="7" t="s">
        <v>48</v>
      </c>
    </row>
    <row r="19" spans="1:16" x14ac:dyDescent="0.2">
      <c r="A19" s="13">
        <v>46049</v>
      </c>
      <c r="B19" s="7" t="s">
        <v>130</v>
      </c>
      <c r="C19" s="7" t="s">
        <v>131</v>
      </c>
      <c r="D19" s="17">
        <v>980</v>
      </c>
      <c r="E19" s="19">
        <f>IF(ISBLANK(Productdetails[[#This Row],[Price ($)]]),VLOOKUP(Productdetails[[#This Row],[Product Name - Copy]],Table4[],2,TRUE),Productdetails[Price ($)])</f>
        <v>980</v>
      </c>
      <c r="F19" s="7">
        <v>10</v>
      </c>
      <c r="G19" s="7" t="s">
        <v>9</v>
      </c>
      <c r="H19" s="16" t="str">
        <f>IF(ISBLANK(Productdetails[[#This Row],[Category Old]]),VLOOKUP(Productdetails[[#This Row],[Product Name - Copy]],Categories[],2,FALSE),Productdetails[[#This Row],[Category Old]])</f>
        <v>Electronics</v>
      </c>
      <c r="O19" s="7" t="s">
        <v>60</v>
      </c>
      <c r="P19" s="7" t="s">
        <v>42</v>
      </c>
    </row>
    <row r="20" spans="1:16" x14ac:dyDescent="0.2">
      <c r="A20" s="13">
        <v>46082</v>
      </c>
      <c r="B20" s="7" t="s">
        <v>109</v>
      </c>
      <c r="C20" s="7" t="s">
        <v>132</v>
      </c>
      <c r="D20" s="17">
        <v>150</v>
      </c>
      <c r="E20" s="19">
        <f>IF(ISBLANK(Productdetails[[#This Row],[Price ($)]]),VLOOKUP(Productdetails[[#This Row],[Product Name - Copy]],Table4[],2,TRUE),Productdetails[Price ($)])</f>
        <v>150</v>
      </c>
      <c r="F20" s="7">
        <v>15</v>
      </c>
      <c r="G20" s="7" t="s">
        <v>13</v>
      </c>
      <c r="H20" s="16" t="str">
        <f>IF(ISBLANK(Productdetails[[#This Row],[Category Old]]),VLOOKUP(Productdetails[[#This Row],[Product Name - Copy]],Categories[],2,FALSE),Productdetails[[#This Row],[Category Old]])</f>
        <v>Fashion</v>
      </c>
      <c r="O20" s="7" t="s">
        <v>63</v>
      </c>
      <c r="P20" s="7" t="s">
        <v>62</v>
      </c>
    </row>
    <row r="21" spans="1:16" x14ac:dyDescent="0.2">
      <c r="A21" s="13">
        <v>46248</v>
      </c>
      <c r="B21" s="7" t="s">
        <v>103</v>
      </c>
      <c r="C21" s="7" t="s">
        <v>133</v>
      </c>
      <c r="D21" s="17">
        <v>150</v>
      </c>
      <c r="E21" s="19">
        <f>IF(ISBLANK(Productdetails[[#This Row],[Price ($)]]),VLOOKUP(Productdetails[[#This Row],[Product Name - Copy]],Table4[],2,TRUE),Productdetails[Price ($)])</f>
        <v>150</v>
      </c>
      <c r="F21" s="7">
        <v>10</v>
      </c>
      <c r="G21" s="7" t="s">
        <v>40</v>
      </c>
      <c r="H21" s="16" t="str">
        <f>IF(ISBLANK(Productdetails[[#This Row],[Category Old]]),VLOOKUP(Productdetails[[#This Row],[Product Name - Copy]],Categories[],2,FALSE),Productdetails[[#This Row],[Category Old]])</f>
        <v>Outdoor</v>
      </c>
      <c r="O21" s="7" t="s">
        <v>66</v>
      </c>
      <c r="P21" s="7" t="s">
        <v>65</v>
      </c>
    </row>
    <row r="22" spans="1:16" x14ac:dyDescent="0.2">
      <c r="A22" s="13">
        <v>46156</v>
      </c>
      <c r="B22" s="7" t="s">
        <v>134</v>
      </c>
      <c r="C22" s="7" t="s">
        <v>135</v>
      </c>
      <c r="D22" s="17">
        <v>700</v>
      </c>
      <c r="E22" s="19">
        <f>IF(ISBLANK(Productdetails[[#This Row],[Price ($)]]),VLOOKUP(Productdetails[[#This Row],[Product Name - Copy]],Table4[],2,TRUE),Productdetails[Price ($)])</f>
        <v>700</v>
      </c>
      <c r="F22" s="7">
        <v>50</v>
      </c>
      <c r="G22" s="7" t="s">
        <v>9</v>
      </c>
      <c r="H22" s="16" t="str">
        <f>IF(ISBLANK(Productdetails[[#This Row],[Category Old]]),VLOOKUP(Productdetails[[#This Row],[Product Name - Copy]],Categories[],2,FALSE),Productdetails[[#This Row],[Category Old]])</f>
        <v>Electronics</v>
      </c>
      <c r="O22" s="7" t="s">
        <v>69</v>
      </c>
      <c r="P22" s="7" t="s">
        <v>68</v>
      </c>
    </row>
    <row r="23" spans="1:16" x14ac:dyDescent="0.2">
      <c r="A23" s="13">
        <v>46031</v>
      </c>
      <c r="B23" s="7" t="s">
        <v>123</v>
      </c>
      <c r="C23" s="7" t="s">
        <v>136</v>
      </c>
      <c r="D23" s="17">
        <v>80</v>
      </c>
      <c r="E23" s="19">
        <f>IF(ISBLANK(Productdetails[[#This Row],[Price ($)]]),VLOOKUP(Productdetails[[#This Row],[Product Name - Copy]],Table4[],2,TRUE),Productdetails[Price ($)])</f>
        <v>80</v>
      </c>
      <c r="F23" s="7">
        <v>20</v>
      </c>
      <c r="G23" s="7" t="s">
        <v>17</v>
      </c>
      <c r="H23" s="16" t="str">
        <f>IF(ISBLANK(Productdetails[[#This Row],[Category Old]]),VLOOKUP(Productdetails[[#This Row],[Product Name - Copy]],Categories[],2,FALSE),Productdetails[[#This Row],[Category Old]])</f>
        <v>Kitchen</v>
      </c>
      <c r="O23" s="7" t="s">
        <v>72</v>
      </c>
      <c r="P23" s="7" t="s">
        <v>71</v>
      </c>
    </row>
    <row r="24" spans="1:16" x14ac:dyDescent="0.2">
      <c r="A24" s="13">
        <v>46222</v>
      </c>
      <c r="B24" s="7" t="s">
        <v>137</v>
      </c>
      <c r="C24" s="7" t="s">
        <v>138</v>
      </c>
      <c r="D24" s="17">
        <v>150</v>
      </c>
      <c r="E24" s="19">
        <f>IF(ISBLANK(Productdetails[[#This Row],[Price ($)]]),VLOOKUP(Productdetails[[#This Row],[Product Name - Copy]],Table4[],2,TRUE),Productdetails[Price ($)])</f>
        <v>150</v>
      </c>
      <c r="F24" s="7">
        <v>30</v>
      </c>
      <c r="H24" s="16" t="str">
        <f>IF(ISBLANK(Productdetails[[#This Row],[Category Old]]),VLOOKUP(Productdetails[[#This Row],[Product Name - Copy]],Categories[],2,FALSE),Productdetails[[#This Row],[Category Old]])</f>
        <v>Electronics</v>
      </c>
      <c r="O24" s="7" t="s">
        <v>75</v>
      </c>
      <c r="P24" s="7" t="s">
        <v>74</v>
      </c>
    </row>
    <row r="25" spans="1:16" x14ac:dyDescent="0.2">
      <c r="A25" s="13">
        <v>46294</v>
      </c>
      <c r="B25" s="7" t="s">
        <v>123</v>
      </c>
      <c r="C25" s="7" t="s">
        <v>139</v>
      </c>
      <c r="D25" s="17">
        <v>800</v>
      </c>
      <c r="E25" s="19">
        <f>IF(ISBLANK(Productdetails[[#This Row],[Price ($)]]),VLOOKUP(Productdetails[[#This Row],[Product Name - Copy]],Table4[],2,TRUE),Productdetails[Price ($)])</f>
        <v>800</v>
      </c>
      <c r="F25" s="7">
        <v>45</v>
      </c>
      <c r="G25" s="7" t="s">
        <v>9</v>
      </c>
      <c r="H25" s="16" t="str">
        <f>IF(ISBLANK(Productdetails[[#This Row],[Category Old]]),VLOOKUP(Productdetails[[#This Row],[Product Name - Copy]],Categories[],2,FALSE),Productdetails[[#This Row],[Category Old]])</f>
        <v>Electronics</v>
      </c>
      <c r="O25" s="7" t="s">
        <v>78</v>
      </c>
      <c r="P25" s="7" t="s">
        <v>77</v>
      </c>
    </row>
    <row r="26" spans="1:16" x14ac:dyDescent="0.2">
      <c r="A26" s="13">
        <v>46176</v>
      </c>
      <c r="B26" s="7" t="s">
        <v>123</v>
      </c>
      <c r="C26" s="7" t="s">
        <v>140</v>
      </c>
      <c r="D26" s="17"/>
      <c r="E26" s="19">
        <f>IF(ISBLANK(Productdetails[[#This Row],[Price ($)]]),VLOOKUP(Productdetails[[#This Row],[Product Name - Copy]],Table4[],2,TRUE),Productdetails[Price ($)])</f>
        <v>150</v>
      </c>
      <c r="F26" s="7">
        <v>25</v>
      </c>
      <c r="G26" s="7" t="s">
        <v>13</v>
      </c>
      <c r="H26" s="16" t="str">
        <f>IF(ISBLANK(Productdetails[[#This Row],[Category Old]]),VLOOKUP(Productdetails[[#This Row],[Product Name - Copy]],Categories[],2,FALSE),Productdetails[[#This Row],[Category Old]])</f>
        <v>Fashion</v>
      </c>
      <c r="O26" s="7" t="s">
        <v>80</v>
      </c>
      <c r="P26" s="7" t="s">
        <v>62</v>
      </c>
    </row>
    <row r="27" spans="1:16" x14ac:dyDescent="0.2">
      <c r="A27" s="13">
        <v>46214</v>
      </c>
      <c r="B27" s="7" t="s">
        <v>123</v>
      </c>
      <c r="C27" s="7" t="s">
        <v>141</v>
      </c>
      <c r="D27" s="17">
        <v>400</v>
      </c>
      <c r="E27" s="19">
        <f>IF(ISBLANK(Productdetails[[#This Row],[Price ($)]]),VLOOKUP(Productdetails[[#This Row],[Product Name - Copy]],Table4[],2,TRUE),Productdetails[Price ($)])</f>
        <v>400</v>
      </c>
      <c r="F27" s="7">
        <v>40</v>
      </c>
      <c r="G27" s="7" t="s">
        <v>17</v>
      </c>
      <c r="H27" s="16" t="str">
        <f>IF(ISBLANK(Productdetails[[#This Row],[Category Old]]),VLOOKUP(Productdetails[[#This Row],[Product Name - Copy]],Categories[],2,FALSE),Productdetails[[#This Row],[Category Old]])</f>
        <v>Kitchen</v>
      </c>
      <c r="O27" s="7" t="s">
        <v>82</v>
      </c>
      <c r="P27" s="7" t="s">
        <v>32</v>
      </c>
    </row>
    <row r="28" spans="1:16" x14ac:dyDescent="0.2">
      <c r="A28" s="13">
        <v>46088</v>
      </c>
      <c r="B28" s="7" t="s">
        <v>123</v>
      </c>
      <c r="C28" s="7" t="s">
        <v>142</v>
      </c>
      <c r="D28" s="17">
        <v>60</v>
      </c>
      <c r="E28" s="19">
        <f>IF(ISBLANK(Productdetails[[#This Row],[Price ($)]]),VLOOKUP(Productdetails[[#This Row],[Product Name - Copy]],Table4[],2,TRUE),Productdetails[Price ($)])</f>
        <v>60</v>
      </c>
      <c r="F28" s="7">
        <v>30</v>
      </c>
      <c r="G28" s="7" t="s">
        <v>13</v>
      </c>
      <c r="H28" s="16" t="str">
        <f>IF(ISBLANK(Productdetails[[#This Row],[Category Old]]),VLOOKUP(Productdetails[[#This Row],[Product Name - Copy]],Categories[],2,FALSE),Productdetails[[#This Row],[Category Old]])</f>
        <v>Fashion</v>
      </c>
      <c r="O28" s="7" t="s">
        <v>85</v>
      </c>
      <c r="P28" s="7" t="s">
        <v>84</v>
      </c>
    </row>
    <row r="29" spans="1:16" x14ac:dyDescent="0.2">
      <c r="A29" s="13">
        <v>46125</v>
      </c>
      <c r="B29" s="7" t="s">
        <v>123</v>
      </c>
      <c r="C29" s="7" t="s">
        <v>143</v>
      </c>
      <c r="D29" s="17">
        <v>40</v>
      </c>
      <c r="E29" s="19">
        <f>IF(ISBLANK(Productdetails[[#This Row],[Price ($)]]),VLOOKUP(Productdetails[[#This Row],[Product Name - Copy]],Table4[],2,TRUE),Productdetails[Price ($)])</f>
        <v>40</v>
      </c>
      <c r="F29" s="7">
        <v>10</v>
      </c>
      <c r="G29" s="7" t="s">
        <v>17</v>
      </c>
      <c r="H29" s="16" t="str">
        <f>IF(ISBLANK(Productdetails[[#This Row],[Category Old]]),VLOOKUP(Productdetails[[#This Row],[Product Name - Copy]],Categories[],2,FALSE),Productdetails[[#This Row],[Category Old]])</f>
        <v>Kitchen</v>
      </c>
      <c r="O29" s="7" t="s">
        <v>88</v>
      </c>
      <c r="P29" s="7" t="s">
        <v>87</v>
      </c>
    </row>
    <row r="30" spans="1:16" x14ac:dyDescent="0.2">
      <c r="A30" s="13">
        <v>46166</v>
      </c>
      <c r="B30" s="7" t="s">
        <v>123</v>
      </c>
      <c r="C30" s="7" t="s">
        <v>144</v>
      </c>
      <c r="D30" s="17">
        <v>130</v>
      </c>
      <c r="E30" s="19">
        <f>IF(ISBLANK(Productdetails[[#This Row],[Price ($)]]),VLOOKUP(Productdetails[[#This Row],[Product Name - Copy]],Table4[],2,TRUE),Productdetails[Price ($)])</f>
        <v>130</v>
      </c>
      <c r="F30" s="7">
        <v>5</v>
      </c>
      <c r="G30" s="7" t="s">
        <v>9</v>
      </c>
      <c r="H30" s="16" t="str">
        <f>IF(ISBLANK(Productdetails[[#This Row],[Category Old]]),VLOOKUP(Productdetails[[#This Row],[Product Name - Copy]],Categories[],2,FALSE),Productdetails[[#This Row],[Category Old]])</f>
        <v>Electronics</v>
      </c>
      <c r="O30" s="7" t="s">
        <v>90</v>
      </c>
      <c r="P30" s="7" t="s">
        <v>74</v>
      </c>
    </row>
    <row r="31" spans="1:16" x14ac:dyDescent="0.2">
      <c r="A31" s="13">
        <v>46358</v>
      </c>
      <c r="B31" s="7" t="s">
        <v>123</v>
      </c>
      <c r="C31" s="7" t="s">
        <v>145</v>
      </c>
      <c r="D31" s="17">
        <v>50</v>
      </c>
      <c r="E31" s="19">
        <f>IF(ISBLANK(Productdetails[[#This Row],[Price ($)]]),VLOOKUP(Productdetails[[#This Row],[Product Name - Copy]],Table4[],2,TRUE),Productdetails[Price ($)])</f>
        <v>50</v>
      </c>
      <c r="F31" s="7">
        <v>50</v>
      </c>
      <c r="G31" s="7" t="s">
        <v>13</v>
      </c>
      <c r="H31" s="16" t="str">
        <f>IF(ISBLANK(Productdetails[[#This Row],[Category Old]]),VLOOKUP(Productdetails[[#This Row],[Product Name - Copy]],Categories[],2,FALSE),Productdetails[[#This Row],[Category Old]])</f>
        <v>Fashion</v>
      </c>
      <c r="O31" s="7" t="s">
        <v>146</v>
      </c>
      <c r="P31" s="7" t="s">
        <v>92</v>
      </c>
    </row>
    <row r="32" spans="1:16" x14ac:dyDescent="0.2">
      <c r="A32" s="13">
        <v>46212</v>
      </c>
      <c r="B32" s="7" t="s">
        <v>147</v>
      </c>
      <c r="C32" s="7" t="s">
        <v>148</v>
      </c>
      <c r="D32" s="17">
        <v>100</v>
      </c>
      <c r="E32" s="19">
        <f>IF(ISBLANK(Productdetails[[#This Row],[Price ($)]]),VLOOKUP(Productdetails[[#This Row],[Product Name - Copy]],Table4[],2,TRUE),Productdetails[Price ($)])</f>
        <v>100</v>
      </c>
      <c r="F32" s="7">
        <v>20</v>
      </c>
      <c r="G32" s="7" t="s">
        <v>56</v>
      </c>
      <c r="H32" s="16" t="str">
        <f>IF(ISBLANK(Productdetails[[#This Row],[Category Old]]),VLOOKUP(Productdetails[[#This Row],[Product Name - Copy]],Categories[],2,FALSE),Productdetails[[#This Row],[Category Old]])</f>
        <v>Accessories</v>
      </c>
      <c r="O32" s="7" t="s">
        <v>96</v>
      </c>
      <c r="P32" s="7" t="s">
        <v>95</v>
      </c>
    </row>
    <row r="33" spans="1:16" x14ac:dyDescent="0.2">
      <c r="A33" s="20"/>
      <c r="B33" s="21"/>
      <c r="C33" s="21"/>
      <c r="D33" s="22"/>
      <c r="E33" s="23"/>
      <c r="F33" s="21"/>
      <c r="G33" s="21"/>
      <c r="H33" s="24"/>
      <c r="I33" s="21"/>
      <c r="J33" s="21"/>
      <c r="K33" s="21"/>
      <c r="L33" s="21"/>
      <c r="M33" s="21"/>
      <c r="N33" s="21"/>
      <c r="O33" s="21"/>
      <c r="P33" s="21"/>
    </row>
  </sheetData>
  <phoneticPr fontId="6" type="noConversion"/>
  <conditionalFormatting sqref="D1:E104857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{B96D06EE-801A-4257-B409-3F39B67EC050}</x14:id>
        </ext>
      </extLst>
    </cfRule>
  </conditionalFormatting>
  <conditionalFormatting sqref="H2:H33">
    <cfRule type="containsText" dxfId="2" priority="1" operator="containsText" text="Electronics">
      <formula>NOT(ISERROR(SEARCH("Electronics",H2)))</formula>
    </cfRule>
  </conditionalFormatting>
  <conditionalFormatting sqref="H2:H1048576">
    <cfRule type="containsText" dxfId="1" priority="2" operator="containsText" text="Category Clean">
      <formula>NOT(ISERROR(SEARCH("Category Clean",H2)))</formula>
    </cfRule>
    <cfRule type="containsText" dxfId="0" priority="4" operator="containsText" text="ELECTRONICS">
      <formula>NOT(ISERROR(SEARCH("ELECTRONICS",H2)))</formula>
    </cfRule>
  </conditionalFormatting>
  <pageMargins left="0.7" right="0.7" top="0.75" bottom="0.75" header="0.3" footer="0.3"/>
  <pageSetup orientation="portrait" horizontalDpi="200" verticalDpi="200" copies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D06EE-801A-4257-B409-3F39B67EC0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82E9-5B0F-4554-B875-E73371C12094}">
  <dimension ref="C4:D28"/>
  <sheetViews>
    <sheetView workbookViewId="0">
      <selection activeCell="D27" sqref="D27"/>
    </sheetView>
  </sheetViews>
  <sheetFormatPr defaultRowHeight="12.75" x14ac:dyDescent="0.2"/>
  <cols>
    <col min="3" max="3" width="27" customWidth="1"/>
    <col min="4" max="4" width="20.42578125" customWidth="1"/>
  </cols>
  <sheetData>
    <row r="4" spans="3:4" ht="15" x14ac:dyDescent="0.2">
      <c r="C4" s="9" t="s">
        <v>1</v>
      </c>
      <c r="D4" s="9" t="s">
        <v>5</v>
      </c>
    </row>
    <row r="5" spans="3:4" ht="15" x14ac:dyDescent="0.2">
      <c r="C5" s="9" t="s">
        <v>154</v>
      </c>
      <c r="D5" s="9" t="s">
        <v>9</v>
      </c>
    </row>
    <row r="6" spans="3:4" ht="15" x14ac:dyDescent="0.2">
      <c r="C6" s="9" t="s">
        <v>11</v>
      </c>
      <c r="D6" s="9" t="s">
        <v>13</v>
      </c>
    </row>
    <row r="7" spans="3:4" ht="15" x14ac:dyDescent="0.2">
      <c r="C7" s="9" t="s">
        <v>155</v>
      </c>
      <c r="D7" s="9" t="s">
        <v>17</v>
      </c>
    </row>
    <row r="8" spans="3:4" ht="15" x14ac:dyDescent="0.2">
      <c r="C8" s="9" t="s">
        <v>156</v>
      </c>
      <c r="D8" s="9" t="s">
        <v>9</v>
      </c>
    </row>
    <row r="9" spans="3:4" ht="15" x14ac:dyDescent="0.2">
      <c r="C9" s="9" t="s">
        <v>22</v>
      </c>
      <c r="D9" s="9" t="s">
        <v>40</v>
      </c>
    </row>
    <row r="10" spans="3:4" ht="15" x14ac:dyDescent="0.2">
      <c r="C10" s="9" t="s">
        <v>25</v>
      </c>
      <c r="D10" s="9" t="s">
        <v>9</v>
      </c>
    </row>
    <row r="11" spans="3:4" ht="15" x14ac:dyDescent="0.2">
      <c r="C11" s="9" t="s">
        <v>157</v>
      </c>
      <c r="D11" s="9" t="s">
        <v>13</v>
      </c>
    </row>
    <row r="12" spans="3:4" ht="15" x14ac:dyDescent="0.2">
      <c r="C12" s="9" t="s">
        <v>32</v>
      </c>
      <c r="D12" s="9" t="s">
        <v>17</v>
      </c>
    </row>
    <row r="13" spans="3:4" ht="15" x14ac:dyDescent="0.2">
      <c r="C13" s="9" t="s">
        <v>35</v>
      </c>
      <c r="D13" s="9" t="s">
        <v>9</v>
      </c>
    </row>
    <row r="14" spans="3:4" ht="15" x14ac:dyDescent="0.2">
      <c r="C14" s="9" t="s">
        <v>158</v>
      </c>
      <c r="D14" s="9" t="s">
        <v>40</v>
      </c>
    </row>
    <row r="15" spans="3:4" ht="15" x14ac:dyDescent="0.2">
      <c r="C15" s="9" t="s">
        <v>11</v>
      </c>
      <c r="D15" s="9" t="s">
        <v>40</v>
      </c>
    </row>
    <row r="16" spans="3:4" ht="15" x14ac:dyDescent="0.2">
      <c r="C16" s="9" t="s">
        <v>156</v>
      </c>
      <c r="D16" s="9" t="s">
        <v>9</v>
      </c>
    </row>
    <row r="17" spans="3:4" ht="15" x14ac:dyDescent="0.2">
      <c r="C17" s="9" t="s">
        <v>159</v>
      </c>
      <c r="D17" s="9" t="s">
        <v>9</v>
      </c>
    </row>
    <row r="18" spans="3:4" ht="15" x14ac:dyDescent="0.2">
      <c r="C18" s="9" t="s">
        <v>160</v>
      </c>
      <c r="D18" s="9" t="s">
        <v>40</v>
      </c>
    </row>
    <row r="19" spans="3:4" ht="15" x14ac:dyDescent="0.2">
      <c r="C19" s="9" t="s">
        <v>68</v>
      </c>
      <c r="D19" s="9" t="s">
        <v>9</v>
      </c>
    </row>
    <row r="20" spans="3:4" ht="15" x14ac:dyDescent="0.2">
      <c r="C20" s="9" t="s">
        <v>161</v>
      </c>
      <c r="D20" s="9" t="s">
        <v>17</v>
      </c>
    </row>
    <row r="21" spans="3:4" ht="15" x14ac:dyDescent="0.2">
      <c r="C21" s="9" t="s">
        <v>162</v>
      </c>
      <c r="D21" s="9" t="s">
        <v>9</v>
      </c>
    </row>
    <row r="22" spans="3:4" ht="15" x14ac:dyDescent="0.2">
      <c r="C22" s="9" t="s">
        <v>84</v>
      </c>
      <c r="D22" s="9" t="s">
        <v>13</v>
      </c>
    </row>
    <row r="23" spans="3:4" ht="15" x14ac:dyDescent="0.2">
      <c r="C23" s="9" t="s">
        <v>87</v>
      </c>
      <c r="D23" s="9" t="s">
        <v>17</v>
      </c>
    </row>
    <row r="24" spans="3:4" ht="15" x14ac:dyDescent="0.2">
      <c r="C24" s="9" t="s">
        <v>92</v>
      </c>
      <c r="D24" s="9" t="s">
        <v>13</v>
      </c>
    </row>
    <row r="25" spans="3:4" ht="15" x14ac:dyDescent="0.2">
      <c r="C25" s="9" t="s">
        <v>95</v>
      </c>
      <c r="D25" s="9" t="s">
        <v>56</v>
      </c>
    </row>
    <row r="26" spans="3:4" ht="15" x14ac:dyDescent="0.2">
      <c r="C26" s="9" t="s">
        <v>163</v>
      </c>
      <c r="D26" s="9" t="s">
        <v>56</v>
      </c>
    </row>
    <row r="27" spans="3:4" ht="15" x14ac:dyDescent="0.2">
      <c r="C27" s="9" t="s">
        <v>15</v>
      </c>
      <c r="D27" s="9" t="s">
        <v>17</v>
      </c>
    </row>
    <row r="28" spans="3:4" ht="15" x14ac:dyDescent="0.2">
      <c r="C28" s="9" t="s">
        <v>74</v>
      </c>
      <c r="D28" s="9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2DAA-DA6A-4ED6-AF44-FD3E721C7741}">
  <dimension ref="A1:B22"/>
  <sheetViews>
    <sheetView workbookViewId="0">
      <selection sqref="A1:B22"/>
    </sheetView>
  </sheetViews>
  <sheetFormatPr defaultRowHeight="12.75" x14ac:dyDescent="0.2"/>
  <cols>
    <col min="1" max="1" width="16" customWidth="1"/>
    <col min="2" max="2" width="17.42578125" bestFit="1" customWidth="1"/>
  </cols>
  <sheetData>
    <row r="1" spans="1:2" x14ac:dyDescent="0.2">
      <c r="A1" t="s">
        <v>1</v>
      </c>
      <c r="B1" t="s">
        <v>176</v>
      </c>
    </row>
    <row r="2" spans="1:2" x14ac:dyDescent="0.2">
      <c r="A2" t="s">
        <v>22</v>
      </c>
      <c r="B2">
        <v>70</v>
      </c>
    </row>
    <row r="3" spans="1:2" x14ac:dyDescent="0.2">
      <c r="A3" t="s">
        <v>32</v>
      </c>
      <c r="B3">
        <v>245</v>
      </c>
    </row>
    <row r="4" spans="1:2" x14ac:dyDescent="0.2">
      <c r="A4" t="s">
        <v>68</v>
      </c>
      <c r="B4">
        <v>700</v>
      </c>
    </row>
    <row r="5" spans="1:2" x14ac:dyDescent="0.2">
      <c r="A5" t="s">
        <v>65</v>
      </c>
    </row>
    <row r="6" spans="1:2" x14ac:dyDescent="0.2">
      <c r="A6" t="s">
        <v>15</v>
      </c>
      <c r="B6">
        <v>125</v>
      </c>
    </row>
    <row r="7" spans="1:2" x14ac:dyDescent="0.2">
      <c r="A7" t="s">
        <v>84</v>
      </c>
      <c r="B7">
        <v>60</v>
      </c>
    </row>
    <row r="8" spans="1:2" x14ac:dyDescent="0.2">
      <c r="A8" t="s">
        <v>74</v>
      </c>
      <c r="B8">
        <v>140</v>
      </c>
    </row>
    <row r="9" spans="1:2" x14ac:dyDescent="0.2">
      <c r="A9" t="s">
        <v>25</v>
      </c>
      <c r="B9">
        <v>250</v>
      </c>
    </row>
    <row r="10" spans="1:2" x14ac:dyDescent="0.2">
      <c r="A10" t="s">
        <v>38</v>
      </c>
      <c r="B10">
        <v>130</v>
      </c>
    </row>
    <row r="11" spans="1:2" x14ac:dyDescent="0.2">
      <c r="A11" t="s">
        <v>92</v>
      </c>
      <c r="B11">
        <v>50</v>
      </c>
    </row>
    <row r="12" spans="1:2" x14ac:dyDescent="0.2">
      <c r="A12" t="s">
        <v>42</v>
      </c>
      <c r="B12">
        <v>976.66666666666663</v>
      </c>
    </row>
    <row r="13" spans="1:2" x14ac:dyDescent="0.2">
      <c r="A13" t="s">
        <v>54</v>
      </c>
      <c r="B13">
        <v>50</v>
      </c>
    </row>
    <row r="14" spans="1:2" x14ac:dyDescent="0.2">
      <c r="A14" t="s">
        <v>71</v>
      </c>
      <c r="B14">
        <v>80</v>
      </c>
    </row>
    <row r="15" spans="1:2" x14ac:dyDescent="0.2">
      <c r="A15" t="s">
        <v>77</v>
      </c>
      <c r="B15">
        <v>850</v>
      </c>
    </row>
    <row r="16" spans="1:2" x14ac:dyDescent="0.2">
      <c r="A16" t="s">
        <v>48</v>
      </c>
      <c r="B16">
        <v>155</v>
      </c>
    </row>
    <row r="17" spans="1:2" x14ac:dyDescent="0.2">
      <c r="A17" t="s">
        <v>11</v>
      </c>
      <c r="B17">
        <v>85</v>
      </c>
    </row>
    <row r="18" spans="1:2" x14ac:dyDescent="0.2">
      <c r="A18" t="s">
        <v>62</v>
      </c>
      <c r="B18">
        <v>150</v>
      </c>
    </row>
    <row r="19" spans="1:2" x14ac:dyDescent="0.2">
      <c r="A19" t="s">
        <v>35</v>
      </c>
      <c r="B19">
        <v>500</v>
      </c>
    </row>
    <row r="20" spans="1:2" x14ac:dyDescent="0.2">
      <c r="A20" t="s">
        <v>87</v>
      </c>
      <c r="B20">
        <v>40</v>
      </c>
    </row>
    <row r="21" spans="1:2" x14ac:dyDescent="0.2">
      <c r="A21" t="s">
        <v>112</v>
      </c>
      <c r="B21">
        <v>30</v>
      </c>
    </row>
    <row r="22" spans="1:2" x14ac:dyDescent="0.2">
      <c r="A22" t="s">
        <v>95</v>
      </c>
      <c r="B22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85B8-6721-467F-ADB9-69F771C57ECD}">
  <dimension ref="A3:C26"/>
  <sheetViews>
    <sheetView workbookViewId="0">
      <selection activeCell="B11" sqref="B11"/>
    </sheetView>
  </sheetViews>
  <sheetFormatPr defaultRowHeight="12.75" x14ac:dyDescent="0.2"/>
  <cols>
    <col min="1" max="1" width="14" bestFit="1" customWidth="1"/>
    <col min="2" max="2" width="19.140625" bestFit="1" customWidth="1"/>
    <col min="3" max="3" width="16.85546875" bestFit="1" customWidth="1"/>
  </cols>
  <sheetData>
    <row r="3" spans="1:3" x14ac:dyDescent="0.2">
      <c r="A3" s="11" t="s">
        <v>165</v>
      </c>
      <c r="B3" t="s">
        <v>175</v>
      </c>
      <c r="C3" t="s">
        <v>167</v>
      </c>
    </row>
    <row r="4" spans="1:3" x14ac:dyDescent="0.2">
      <c r="A4" s="12" t="s">
        <v>22</v>
      </c>
      <c r="B4">
        <v>70</v>
      </c>
      <c r="C4">
        <v>1</v>
      </c>
    </row>
    <row r="5" spans="1:3" x14ac:dyDescent="0.2">
      <c r="A5" s="12" t="s">
        <v>32</v>
      </c>
      <c r="B5">
        <v>245</v>
      </c>
      <c r="C5">
        <v>2</v>
      </c>
    </row>
    <row r="6" spans="1:3" x14ac:dyDescent="0.2">
      <c r="A6" s="12" t="s">
        <v>68</v>
      </c>
      <c r="B6">
        <v>700</v>
      </c>
      <c r="C6">
        <v>1</v>
      </c>
    </row>
    <row r="7" spans="1:3" x14ac:dyDescent="0.2">
      <c r="A7" s="12" t="s">
        <v>65</v>
      </c>
      <c r="C7">
        <v>1</v>
      </c>
    </row>
    <row r="8" spans="1:3" x14ac:dyDescent="0.2">
      <c r="A8" s="12" t="s">
        <v>15</v>
      </c>
      <c r="B8">
        <v>125</v>
      </c>
      <c r="C8">
        <v>2</v>
      </c>
    </row>
    <row r="9" spans="1:3" x14ac:dyDescent="0.2">
      <c r="A9" s="12" t="s">
        <v>84</v>
      </c>
      <c r="B9">
        <v>60</v>
      </c>
      <c r="C9">
        <v>1</v>
      </c>
    </row>
    <row r="10" spans="1:3" x14ac:dyDescent="0.2">
      <c r="A10" s="12" t="s">
        <v>74</v>
      </c>
      <c r="B10">
        <v>140</v>
      </c>
      <c r="C10">
        <v>2</v>
      </c>
    </row>
    <row r="11" spans="1:3" x14ac:dyDescent="0.2">
      <c r="A11" s="12" t="s">
        <v>25</v>
      </c>
      <c r="B11">
        <v>250</v>
      </c>
      <c r="C11">
        <v>2</v>
      </c>
    </row>
    <row r="12" spans="1:3" x14ac:dyDescent="0.2">
      <c r="A12" s="12" t="s">
        <v>38</v>
      </c>
      <c r="B12">
        <v>130</v>
      </c>
      <c r="C12">
        <v>1</v>
      </c>
    </row>
    <row r="13" spans="1:3" x14ac:dyDescent="0.2">
      <c r="A13" s="12" t="s">
        <v>92</v>
      </c>
      <c r="B13">
        <v>50</v>
      </c>
      <c r="C13">
        <v>1</v>
      </c>
    </row>
    <row r="14" spans="1:3" x14ac:dyDescent="0.2">
      <c r="A14" s="12" t="s">
        <v>42</v>
      </c>
      <c r="B14">
        <v>976.66666666666663</v>
      </c>
      <c r="C14">
        <v>3</v>
      </c>
    </row>
    <row r="15" spans="1:3" x14ac:dyDescent="0.2">
      <c r="A15" s="12" t="s">
        <v>54</v>
      </c>
      <c r="B15">
        <v>50</v>
      </c>
      <c r="C15">
        <v>1</v>
      </c>
    </row>
    <row r="16" spans="1:3" x14ac:dyDescent="0.2">
      <c r="A16" s="12" t="s">
        <v>71</v>
      </c>
      <c r="B16">
        <v>80</v>
      </c>
      <c r="C16">
        <v>1</v>
      </c>
    </row>
    <row r="17" spans="1:3" x14ac:dyDescent="0.2">
      <c r="A17" s="12" t="s">
        <v>77</v>
      </c>
      <c r="B17">
        <v>850</v>
      </c>
      <c r="C17">
        <v>2</v>
      </c>
    </row>
    <row r="18" spans="1:3" x14ac:dyDescent="0.2">
      <c r="A18" s="12" t="s">
        <v>48</v>
      </c>
      <c r="B18">
        <v>155</v>
      </c>
      <c r="C18">
        <v>2</v>
      </c>
    </row>
    <row r="19" spans="1:3" x14ac:dyDescent="0.2">
      <c r="A19" s="12" t="s">
        <v>11</v>
      </c>
      <c r="B19">
        <v>85</v>
      </c>
      <c r="C19">
        <v>2</v>
      </c>
    </row>
    <row r="20" spans="1:3" x14ac:dyDescent="0.2">
      <c r="A20" s="12" t="s">
        <v>62</v>
      </c>
      <c r="B20">
        <v>150</v>
      </c>
      <c r="C20">
        <v>2</v>
      </c>
    </row>
    <row r="21" spans="1:3" x14ac:dyDescent="0.2">
      <c r="A21" s="12" t="s">
        <v>35</v>
      </c>
      <c r="B21">
        <v>500</v>
      </c>
      <c r="C21">
        <v>1</v>
      </c>
    </row>
    <row r="22" spans="1:3" x14ac:dyDescent="0.2">
      <c r="A22" s="12" t="s">
        <v>87</v>
      </c>
      <c r="B22">
        <v>40</v>
      </c>
      <c r="C22">
        <v>1</v>
      </c>
    </row>
    <row r="23" spans="1:3" x14ac:dyDescent="0.2">
      <c r="A23" s="12" t="s">
        <v>112</v>
      </c>
      <c r="B23">
        <v>30</v>
      </c>
      <c r="C23">
        <v>1</v>
      </c>
    </row>
    <row r="24" spans="1:3" x14ac:dyDescent="0.2">
      <c r="A24" s="12" t="s">
        <v>95</v>
      </c>
      <c r="B24">
        <v>100</v>
      </c>
      <c r="C24">
        <v>1</v>
      </c>
    </row>
    <row r="25" spans="1:3" x14ac:dyDescent="0.2">
      <c r="A25" s="12" t="s">
        <v>174</v>
      </c>
    </row>
    <row r="26" spans="1:3" x14ac:dyDescent="0.2">
      <c r="A26" s="12" t="s">
        <v>166</v>
      </c>
      <c r="B26">
        <v>297.85714285714283</v>
      </c>
      <c r="C26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C8" sqref="C8"/>
    </sheetView>
  </sheetViews>
  <sheetFormatPr defaultColWidth="12.5703125" defaultRowHeight="15" customHeight="1" x14ac:dyDescent="0.2"/>
  <cols>
    <col min="1" max="1" width="19.28515625" customWidth="1"/>
    <col min="2" max="2" width="16" customWidth="1"/>
    <col min="3" max="3" width="14.42578125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8DE09-B436-4612-A337-87037916F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Productdetails</vt:lpstr>
      <vt:lpstr>category for lookup</vt:lpstr>
      <vt:lpstr>PRICE </vt:lpstr>
      <vt:lpstr>Pivot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Tharanendiran, Vasumati -</cp:lastModifiedBy>
  <dcterms:modified xsi:type="dcterms:W3CDTF">2026-06-13T12:27:25Z</dcterms:modified>
</cp:coreProperties>
</file>